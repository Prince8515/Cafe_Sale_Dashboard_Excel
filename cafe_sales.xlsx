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DELL\Desktop\MS EXCEL WSCUBETECCH\"/>
    </mc:Choice>
  </mc:AlternateContent>
  <xr:revisionPtr revIDLastSave="0" documentId="8_{64A5369D-C07C-43EC-BFA7-18EE4A864707}" xr6:coauthVersionLast="47" xr6:coauthVersionMax="47" xr10:uidLastSave="{00000000-0000-0000-0000-000000000000}"/>
  <bookViews>
    <workbookView xWindow="-120" yWindow="-120" windowWidth="20730" windowHeight="11310" firstSheet="1" activeTab="1" xr2:uid="{9E3F6AA8-3FF6-461F-9280-9EE0B3F99D70}"/>
  </bookViews>
  <sheets>
    <sheet name="DAY- WISE-SALES " sheetId="2" r:id="rId1"/>
    <sheet name="Dashboard" sheetId="3" r:id="rId2"/>
    <sheet name="Sheet3" sheetId="4" r:id="rId3"/>
    <sheet name="Sheet5" sheetId="6" r:id="rId4"/>
    <sheet name="Sheet7" sheetId="8" r:id="rId5"/>
    <sheet name="Sheet1" sheetId="9" r:id="rId6"/>
    <sheet name="Sheet2" sheetId="10" r:id="rId7"/>
    <sheet name="cafe_sales" sheetId="1" r:id="rId8"/>
  </sheets>
  <definedNames>
    <definedName name="_xlnm._FilterDatabase" localSheetId="7" hidden="1">cafe_sales!$A$1:$K$61</definedName>
    <definedName name="Slicer_Date">#N/A</definedName>
    <definedName name="Slicer_Day">#N/A</definedName>
  </definedNames>
  <calcPr calcId="191029"/>
  <pivotCaches>
    <pivotCache cacheId="3" r:id="rId9"/>
    <pivotCache cacheId="1" r:id="rId10"/>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7" i="1" l="1"/>
  <c r="O5" i="1"/>
  <c r="P2"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2" i="1"/>
  <c r="H2"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3" i="1"/>
  <c r="L4" i="1"/>
  <c r="L5" i="1"/>
  <c r="L6" i="1"/>
  <c r="L7" i="1"/>
  <c r="L8" i="1"/>
  <c r="L9" i="1"/>
  <c r="L10" i="1"/>
  <c r="L11" i="1"/>
  <c r="L12" i="1"/>
  <c r="L13" i="1"/>
  <c r="L14" i="1"/>
  <c r="L15" i="1"/>
  <c r="L2" i="1"/>
  <c r="H57" i="1"/>
  <c r="H51" i="1"/>
  <c r="H45" i="1"/>
  <c r="H39" i="1"/>
  <c r="H33" i="1"/>
  <c r="H27" i="1"/>
  <c r="H21" i="1"/>
  <c r="H15" i="1"/>
  <c r="H9" i="1"/>
  <c r="H3" i="1"/>
</calcChain>
</file>

<file path=xl/sharedStrings.xml><?xml version="1.0" encoding="utf-8"?>
<sst xmlns="http://schemas.openxmlformats.org/spreadsheetml/2006/main" count="483" uniqueCount="119">
  <si>
    <t>Order ID</t>
  </si>
  <si>
    <t>Date</t>
  </si>
  <si>
    <t>Day</t>
  </si>
  <si>
    <t>Item</t>
  </si>
  <si>
    <t>Category</t>
  </si>
  <si>
    <t>Qty</t>
  </si>
  <si>
    <t>Price</t>
  </si>
  <si>
    <t>Total</t>
  </si>
  <si>
    <t>Payment</t>
  </si>
  <si>
    <t>Staff</t>
  </si>
  <si>
    <t>Status</t>
  </si>
  <si>
    <t>C001</t>
  </si>
  <si>
    <t>Monday</t>
  </si>
  <si>
    <t>Espresso</t>
  </si>
  <si>
    <t>Coffee</t>
  </si>
  <si>
    <t>Cash</t>
  </si>
  <si>
    <t>Rahul</t>
  </si>
  <si>
    <t>Served</t>
  </si>
  <si>
    <t>C002</t>
  </si>
  <si>
    <t>Croissant</t>
  </si>
  <si>
    <t>Food</t>
  </si>
  <si>
    <t>UPI</t>
  </si>
  <si>
    <t>Priya</t>
  </si>
  <si>
    <t>C003</t>
  </si>
  <si>
    <t>Tuesday</t>
  </si>
  <si>
    <t>Cappuccino</t>
  </si>
  <si>
    <t>Card</t>
  </si>
  <si>
    <t>Amit</t>
  </si>
  <si>
    <t>C004</t>
  </si>
  <si>
    <t>Sandwich</t>
  </si>
  <si>
    <t>C005</t>
  </si>
  <si>
    <t>Wednesday</t>
  </si>
  <si>
    <t>Latte</t>
  </si>
  <si>
    <t>Cancelled</t>
  </si>
  <si>
    <t>C006</t>
  </si>
  <si>
    <t>Muffin</t>
  </si>
  <si>
    <t>C007</t>
  </si>
  <si>
    <t>Thursday</t>
  </si>
  <si>
    <t>Mocha</t>
  </si>
  <si>
    <t>C008</t>
  </si>
  <si>
    <t>Pasta</t>
  </si>
  <si>
    <t>C009</t>
  </si>
  <si>
    <t>Friday</t>
  </si>
  <si>
    <t>Cold Coffee</t>
  </si>
  <si>
    <t>C010</t>
  </si>
  <si>
    <t>Brownie</t>
  </si>
  <si>
    <t>C011</t>
  </si>
  <si>
    <t>Saturday</t>
  </si>
  <si>
    <t>C012</t>
  </si>
  <si>
    <t>Waffle</t>
  </si>
  <si>
    <t>C013</t>
  </si>
  <si>
    <t>Sunday</t>
  </si>
  <si>
    <t>C014</t>
  </si>
  <si>
    <t>Cheesecake</t>
  </si>
  <si>
    <t>C015</t>
  </si>
  <si>
    <t>C016</t>
  </si>
  <si>
    <t>Club Sandwich</t>
  </si>
  <si>
    <t>C017</t>
  </si>
  <si>
    <t>Americano</t>
  </si>
  <si>
    <t>C018</t>
  </si>
  <si>
    <t>Pancakes</t>
  </si>
  <si>
    <t>C019</t>
  </si>
  <si>
    <t>C020</t>
  </si>
  <si>
    <t>C021</t>
  </si>
  <si>
    <t>C022</t>
  </si>
  <si>
    <t>C023</t>
  </si>
  <si>
    <t>C024</t>
  </si>
  <si>
    <t>C025</t>
  </si>
  <si>
    <t>C026</t>
  </si>
  <si>
    <t>C027</t>
  </si>
  <si>
    <t>coffee</t>
  </si>
  <si>
    <t>C028</t>
  </si>
  <si>
    <t>C029</t>
  </si>
  <si>
    <t>C030</t>
  </si>
  <si>
    <t>C031</t>
  </si>
  <si>
    <t>served</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</si>
  <si>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</si>
  <si>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</si>
  <si>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</si>
  <si>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</si>
  <si>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</si>
  <si>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</si>
  <si>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</si>
  <si>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</si>
  <si>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</si>
  <si>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</si>
  <si>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</si>
  <si>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</si>
  <si>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</si>
  <si>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</si>
  <si>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</si>
  <si>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</si>
  <si>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</si>
  <si>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</si>
  <si>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</si>
  <si>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</si>
  <si>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</si>
  <si>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</si>
  <si>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</si>
  <si>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</si>
  <si>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</si>
  <si>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</si>
  <si>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</si>
  <si>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</si>
  <si>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</si>
  <si>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Row Labels</t>
  </si>
  <si>
    <t>Sum of Total</t>
  </si>
  <si>
    <t>Count of Qty</t>
  </si>
  <si>
    <t>Week -Number</t>
  </si>
  <si>
    <t>Revenue-Check</t>
  </si>
  <si>
    <t>Day-type</t>
  </si>
  <si>
    <t>Grand Total</t>
  </si>
  <si>
    <t>Count of Total</t>
  </si>
  <si>
    <t>Weekday</t>
  </si>
  <si>
    <t>Weekend</t>
  </si>
  <si>
    <t>Total Sales</t>
  </si>
  <si>
    <t>Total transcation</t>
  </si>
  <si>
    <t>Avg bill per person</t>
  </si>
  <si>
    <t>Avg order per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</si>
</sst>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5" tint="-0.249977111117893"/>
      <name val="Aptos Narrow"/>
      <family val="2"/>
      <scheme val="minor"/>
    </font>
    <font>
      <b/>
      <sz val="11"/>
      <color theme="5"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xf numFmtId="0" fontId="0" fillId="33" borderId="0" xfId="0" applyFill="1"/>
    <xf numFmtId="0" fontId="19" fillId="33" borderId="0" xfId="0" applyFont="1" applyFill="1"/>
    <xf numFmtId="164"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0" xr9:uid="{76DDDF4D-9B43-46FB-BFD1-AFEFEFFBEF9D}"/>
  </tableStyles>
  <colors>
    <mruColors>
      <color rgb="FF66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[cafe_sales.xlsx]DAY- WISE-SALES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a:t>
            </a:r>
            <a:r>
              <a:rPr lang="en-US" baseline="0"/>
              <a:t>- WISE-</a:t>
            </a:r>
            <a:r>
              <a:rPr lang="en-US"/>
              <a:t>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WISE-SALES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WISE-SALES '!$A$4:$A$10</c:f>
              <c:strCache>
                <c:ptCount val="7"/>
                <c:pt idx="0">
                  <c:v>Monday</c:v>
                </c:pt>
                <c:pt idx="1">
                  <c:v>Tuesday</c:v>
                </c:pt>
                <c:pt idx="2">
                  <c:v>Wednesday</c:v>
                </c:pt>
                <c:pt idx="3">
                  <c:v>Thursday</c:v>
                </c:pt>
                <c:pt idx="4">
                  <c:v>Friday</c:v>
                </c:pt>
                <c:pt idx="5">
                  <c:v>Saturday</c:v>
                </c:pt>
                <c:pt idx="6">
                  <c:v>Sunday</c:v>
                </c:pt>
              </c:strCache>
            </c:strRef>
          </c:cat>
          <c:val>
            <c:numRef>
              <c:f>'DAY- WISE-SALES '!$B$4:$B$10</c:f>
              <c:numCache>
                <c:formatCode>General</c:formatCode>
                <c:ptCount val="7"/>
                <c:pt idx="0">
                  <c:v>2740</c:v>
                </c:pt>
                <c:pt idx="1">
                  <c:v>2890</c:v>
                </c:pt>
                <c:pt idx="2">
                  <c:v>2140</c:v>
                </c:pt>
                <c:pt idx="3">
                  <c:v>2870</c:v>
                </c:pt>
                <c:pt idx="4">
                  <c:v>2830</c:v>
                </c:pt>
                <c:pt idx="5">
                  <c:v>3820</c:v>
                </c:pt>
                <c:pt idx="6">
                  <c:v>2410</c:v>
                </c:pt>
              </c:numCache>
            </c:numRef>
          </c:val>
          <c:extLst>
            <c:ext xmlns:c16="http://schemas.microsoft.com/office/drawing/2014/chart" uri="{C3380CC4-5D6E-409C-BE32-E72D297353CC}">
              <c16:uniqueId val="{00000000-676D-43CC-AF93-58F4D408A861}"/>
            </c:ext>
          </c:extLst>
        </c:ser>
        <c:dLbls>
          <c:dLblPos val="outEnd"/>
          <c:showLegendKey val="0"/>
          <c:showVal val="1"/>
          <c:showCatName val="0"/>
          <c:showSerName val="0"/>
          <c:showPercent val="0"/>
          <c:showBubbleSize val="0"/>
        </c:dLbls>
        <c:gapWidth val="219"/>
        <c:overlap val="-27"/>
        <c:axId val="2125855824"/>
        <c:axId val="2125843344"/>
      </c:barChart>
      <c:catAx>
        <c:axId val="21258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43344"/>
        <c:crosses val="autoZero"/>
        <c:auto val="1"/>
        <c:lblAlgn val="ctr"/>
        <c:lblOffset val="100"/>
        <c:noMultiLvlLbl val="0"/>
      </c:catAx>
      <c:valAx>
        <c:axId val="212584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5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[cafe_sales.xlsx]DAY- WISE-SALES !PivotTable1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DAY</a:t>
            </a:r>
            <a:r>
              <a:rPr lang="en-US" b="1" baseline="0"/>
              <a:t>- WISE-</a:t>
            </a:r>
            <a:r>
              <a:rPr lang="en-US" b="1"/>
              <a:t>SALES</a:t>
            </a:r>
            <a:r>
              <a:rPr lang="en-US" b="1" baseline="0"/>
              <a:t> </a:t>
            </a:r>
            <a:endParaRPr lang="en-US" b="1"/>
          </a:p>
        </c:rich>
      </c:tx>
      <c:layout>
        <c:manualLayout>
          <c:xMode val="edge"/>
          <c:yMode val="edge"/>
          <c:x val="0.38258475434109213"/>
          <c:y val="0.117043061155529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50000"/>
              </a:schemeClr>
            </a:solidFill>
            <a:round/>
          </a:ln>
          <a:effectLst/>
        </c:spPr>
        <c:marker>
          <c:symbol val="none"/>
        </c:marker>
      </c:pivotFmt>
    </c:pivotFmts>
    <c:plotArea>
      <c:layout/>
      <c:lineChart>
        <c:grouping val="standard"/>
        <c:varyColors val="0"/>
        <c:ser>
          <c:idx val="0"/>
          <c:order val="0"/>
          <c:tx>
            <c:strRef>
              <c:f>'DAY- WISE-SALES '!$B$3</c:f>
              <c:strCache>
                <c:ptCount val="1"/>
                <c:pt idx="0">
                  <c:v>Total</c:v>
                </c:pt>
              </c:strCache>
            </c:strRef>
          </c:tx>
          <c:spPr>
            <a:ln w="28575" cap="rnd">
              <a:solidFill>
                <a:schemeClr val="accent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WISE-SALES '!$A$4:$A$10</c:f>
              <c:strCache>
                <c:ptCount val="7"/>
                <c:pt idx="0">
                  <c:v>Monday</c:v>
                </c:pt>
                <c:pt idx="1">
                  <c:v>Tuesday</c:v>
                </c:pt>
                <c:pt idx="2">
                  <c:v>Wednesday</c:v>
                </c:pt>
                <c:pt idx="3">
                  <c:v>Thursday</c:v>
                </c:pt>
                <c:pt idx="4">
                  <c:v>Friday</c:v>
                </c:pt>
                <c:pt idx="5">
                  <c:v>Saturday</c:v>
                </c:pt>
                <c:pt idx="6">
                  <c:v>Sunday</c:v>
                </c:pt>
              </c:strCache>
            </c:strRef>
          </c:cat>
          <c:val>
            <c:numRef>
              <c:f>'DAY- WISE-SALES '!$B$4:$B$10</c:f>
              <c:numCache>
                <c:formatCode>General</c:formatCode>
                <c:ptCount val="7"/>
                <c:pt idx="0">
                  <c:v>2740</c:v>
                </c:pt>
                <c:pt idx="1">
                  <c:v>2890</c:v>
                </c:pt>
                <c:pt idx="2">
                  <c:v>2140</c:v>
                </c:pt>
                <c:pt idx="3">
                  <c:v>2870</c:v>
                </c:pt>
                <c:pt idx="4">
                  <c:v>2830</c:v>
                </c:pt>
                <c:pt idx="5">
                  <c:v>3820</c:v>
                </c:pt>
                <c:pt idx="6">
                  <c:v>2410</c:v>
                </c:pt>
              </c:numCache>
            </c:numRef>
          </c:val>
          <c:smooth val="0"/>
          <c:extLst>
            <c:ext xmlns:c16="http://schemas.microsoft.com/office/drawing/2014/chart" uri="{C3380CC4-5D6E-409C-BE32-E72D297353CC}">
              <c16:uniqueId val="{00000000-5160-4D75-B501-BEB0B0568B91}"/>
            </c:ext>
          </c:extLst>
        </c:ser>
        <c:dLbls>
          <c:showLegendKey val="0"/>
          <c:showVal val="1"/>
          <c:showCatName val="0"/>
          <c:showSerName val="0"/>
          <c:showPercent val="0"/>
          <c:showBubbleSize val="0"/>
        </c:dLbls>
        <c:smooth val="0"/>
        <c:axId val="2125855824"/>
        <c:axId val="2125843344"/>
      </c:lineChart>
      <c:catAx>
        <c:axId val="2125855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crossAx val="2125843344"/>
        <c:crosses val="autoZero"/>
        <c:auto val="1"/>
        <c:lblAlgn val="ctr"/>
        <c:lblOffset val="100"/>
        <c:noMultiLvlLbl val="0"/>
      </c:catAx>
      <c:valAx>
        <c:axId val="21258433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crossAx val="212585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[cafe_sales.xlsx]Sheet3!PivotTable2</c:name>
    <c:fmtId val="2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SALES</a:t>
            </a:r>
            <a:r>
              <a:rPr lang="en-US" sz="1400" baseline="0"/>
              <a:t> VS ITEM</a:t>
            </a:r>
            <a:endParaRPr lang="en-US" sz="1400"/>
          </a:p>
        </c:rich>
      </c:tx>
      <c:layout>
        <c:manualLayout>
          <c:xMode val="edge"/>
          <c:yMode val="edge"/>
          <c:x val="0.26249116371711889"/>
          <c:y val="3.01099942601774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tx>
            <c:rich>
              <a:bodyPr/>
              <a:lstStyle/>
              <a:p>
                <a:fld id="{73C3BE72-835B-42E5-8BA3-06B760564EB4}" type="VALUE">
                  <a:rPr lang="en-US"/>
                  <a:pPr/>
                  <a:t>[VALUE]</a:t>
                </a:fld>
                <a:r>
                  <a:rPr lang="en-US"/>
                  <a:t>, </a:t>
                </a:r>
                <a:fld id="{88D2F5B7-D6CF-4602-A4B1-50A9B9690467}" type="PERCENTAGE">
                  <a:rPr lang="en-US"/>
                  <a:pPr/>
                  <a:t>[PERCENTAGE]</a:t>
                </a:fld>
                <a:endParaRPr lang="en-US"/>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pivotFmt>
      <c:pivotFmt>
        <c:idx val="3"/>
      </c:pivotFmt>
      <c:pivotFmt>
        <c:idx val="4"/>
      </c:pivotFmt>
      <c:pivotFmt>
        <c:idx val="5"/>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6"/>
        <c:dLbl>
          <c:idx val="0"/>
          <c:tx>
            <c:rich>
              <a:bodyPr/>
              <a:lstStyle/>
              <a:p>
                <a:fld id="{73C3BE72-835B-42E5-8BA3-06B760564EB4}" type="VALUE">
                  <a:rPr lang="en-US"/>
                  <a:pPr/>
                  <a:t>[VALUE]</a:t>
                </a:fld>
                <a:r>
                  <a:rPr lang="en-US"/>
                  <a:t>, </a:t>
                </a:r>
                <a:fld id="{88D2F5B7-D6CF-4602-A4B1-50A9B9690467}" type="PERCENTAGE">
                  <a:rPr lang="en-US"/>
                  <a:pPr/>
                  <a:t>[PERCENTAGE]</a:t>
                </a:fld>
                <a:endParaRPr lang="en-US"/>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solidFill>
            <a:schemeClr val="accent2">
              <a:lumMod val="5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50000"/>
            </a:schemeClr>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3C3BE72-835B-42E5-8BA3-06B760564EB4}" type="VALUE">
                  <a:rPr lang="en-US">
                    <a:solidFill>
                      <a:schemeClr val="tx1"/>
                    </a:solidFill>
                  </a:rPr>
                  <a:pPr>
                    <a:defRPr>
                      <a:solidFill>
                        <a:schemeClr val="tx1"/>
                      </a:solidFill>
                    </a:defRPr>
                  </a:pPr>
                  <a:t>[VALUE]</a:t>
                </a:fld>
                <a:r>
                  <a:rPr lang="en-US">
                    <a:solidFill>
                      <a:schemeClr val="tx1"/>
                    </a:solidFill>
                  </a:rPr>
                  <a:t>, </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2">
              <a:lumMod val="50000"/>
            </a:schemeClr>
          </a:solidFill>
          <a:ln>
            <a:noFill/>
          </a:ln>
          <a:effectLst>
            <a:outerShdw blurRad="317500" algn="ctr" rotWithShape="0">
              <a:prstClr val="black">
                <a:alpha val="25000"/>
              </a:prstClr>
            </a:outerShdw>
          </a:effectLst>
        </c:spPr>
      </c:pivotFmt>
      <c:pivotFmt>
        <c:idx val="24"/>
        <c:spPr>
          <a:solidFill>
            <a:schemeClr val="accent2">
              <a:lumMod val="50000"/>
            </a:schemeClr>
          </a:solidFill>
          <a:ln>
            <a:noFill/>
          </a:ln>
          <a:effectLst>
            <a:outerShdw blurRad="317500" algn="ctr" rotWithShape="0">
              <a:prstClr val="black">
                <a:alpha val="25000"/>
              </a:prstClr>
            </a:outerShdw>
          </a:effectLst>
        </c:spPr>
      </c:pivotFmt>
      <c:pivotFmt>
        <c:idx val="25"/>
        <c:spPr>
          <a:solidFill>
            <a:schemeClr val="accent2">
              <a:lumMod val="50000"/>
            </a:schemeClr>
          </a:solidFill>
          <a:ln>
            <a:noFill/>
          </a:ln>
          <a:effectLst>
            <a:outerShdw blurRad="317500" algn="ctr" rotWithShape="0">
              <a:prstClr val="black">
                <a:alpha val="25000"/>
              </a:prstClr>
            </a:outerShdw>
          </a:effectLst>
        </c:spPr>
      </c:pivotFmt>
      <c:pivotFmt>
        <c:idx val="26"/>
        <c:spPr>
          <a:solidFill>
            <a:schemeClr val="accent2">
              <a:lumMod val="50000"/>
            </a:schemeClr>
          </a:solidFill>
          <a:ln>
            <a:noFill/>
          </a:ln>
          <a:effectLst>
            <a:outerShdw blurRad="317500" algn="ctr" rotWithShape="0">
              <a:prstClr val="black">
                <a:alpha val="25000"/>
              </a:prstClr>
            </a:outerShdw>
          </a:effectLst>
        </c:spPr>
      </c:pivotFmt>
      <c:pivotFmt>
        <c:idx val="27"/>
        <c:spPr>
          <a:solidFill>
            <a:schemeClr val="accent2">
              <a:lumMod val="50000"/>
            </a:schemeClr>
          </a:solidFill>
          <a:ln>
            <a:noFill/>
          </a:ln>
          <a:effectLst>
            <a:outerShdw blurRad="317500" algn="ctr" rotWithShape="0">
              <a:prstClr val="black">
                <a:alpha val="25000"/>
              </a:prstClr>
            </a:outerShdw>
          </a:effectLst>
        </c:spPr>
      </c:pivotFmt>
      <c:pivotFmt>
        <c:idx val="28"/>
        <c:spPr>
          <a:solidFill>
            <a:schemeClr val="accent2">
              <a:lumMod val="50000"/>
            </a:schemeClr>
          </a:solidFill>
          <a:ln>
            <a:noFill/>
          </a:ln>
          <a:effectLst>
            <a:outerShdw blurRad="317500" algn="ctr" rotWithShape="0">
              <a:prstClr val="black">
                <a:alpha val="25000"/>
              </a:prstClr>
            </a:outerShdw>
          </a:effectLst>
        </c:spPr>
      </c:pivotFmt>
      <c:pivotFmt>
        <c:idx val="29"/>
        <c:spPr>
          <a:solidFill>
            <a:schemeClr val="accent2">
              <a:lumMod val="50000"/>
            </a:schemeClr>
          </a:solidFill>
          <a:ln>
            <a:noFill/>
          </a:ln>
          <a:effectLst>
            <a:outerShdw blurRad="317500" algn="ctr" rotWithShape="0">
              <a:prstClr val="black">
                <a:alpha val="25000"/>
              </a:prstClr>
            </a:outerShdw>
          </a:effectLst>
        </c:spPr>
      </c:pivotFmt>
      <c:pivotFmt>
        <c:idx val="30"/>
        <c:spPr>
          <a:solidFill>
            <a:schemeClr val="accent2">
              <a:lumMod val="50000"/>
            </a:schemeClr>
          </a:solidFill>
          <a:ln>
            <a:noFill/>
          </a:ln>
          <a:effectLst>
            <a:outerShdw blurRad="317500" algn="ctr" rotWithShape="0">
              <a:prstClr val="black">
                <a:alpha val="25000"/>
              </a:prstClr>
            </a:outerShdw>
          </a:effectLst>
        </c:spPr>
      </c:pivotFmt>
      <c:pivotFmt>
        <c:idx val="31"/>
        <c:spPr>
          <a:solidFill>
            <a:schemeClr val="accent2">
              <a:lumMod val="50000"/>
            </a:schemeClr>
          </a:solidFill>
          <a:ln>
            <a:noFill/>
          </a:ln>
          <a:effectLst>
            <a:outerShdw blurRad="317500" algn="ctr" rotWithShape="0">
              <a:prstClr val="black">
                <a:alpha val="25000"/>
              </a:prstClr>
            </a:outerShdw>
          </a:effectLst>
        </c:spPr>
      </c:pivotFmt>
      <c:pivotFmt>
        <c:idx val="32"/>
        <c:spPr>
          <a:solidFill>
            <a:schemeClr val="accent2">
              <a:lumMod val="50000"/>
            </a:schemeClr>
          </a:solidFill>
          <a:ln>
            <a:noFill/>
          </a:ln>
          <a:effectLst>
            <a:outerShdw blurRad="317500" algn="ctr" rotWithShape="0">
              <a:prstClr val="black">
                <a:alpha val="25000"/>
              </a:prstClr>
            </a:outerShdw>
          </a:effectLst>
        </c:spPr>
      </c:pivotFmt>
      <c:pivotFmt>
        <c:idx val="33"/>
        <c:spPr>
          <a:solidFill>
            <a:schemeClr val="accent2">
              <a:lumMod val="50000"/>
            </a:schemeClr>
          </a:solidFill>
          <a:ln>
            <a:noFill/>
          </a:ln>
          <a:effectLst>
            <a:outerShdw blurRad="317500" algn="ctr" rotWithShape="0">
              <a:prstClr val="black">
                <a:alpha val="25000"/>
              </a:prstClr>
            </a:outerShdw>
          </a:effectLst>
        </c:spPr>
      </c:pivotFmt>
      <c:pivotFmt>
        <c:idx val="34"/>
        <c:spPr>
          <a:solidFill>
            <a:schemeClr val="accent2">
              <a:lumMod val="50000"/>
            </a:schemeClr>
          </a:solidFill>
          <a:ln>
            <a:noFill/>
          </a:ln>
          <a:effectLst>
            <a:outerShdw blurRad="317500" algn="ctr" rotWithShape="0">
              <a:prstClr val="black">
                <a:alpha val="25000"/>
              </a:prstClr>
            </a:outerShdw>
          </a:effectLst>
        </c:spPr>
      </c:pivotFmt>
      <c:pivotFmt>
        <c:idx val="35"/>
        <c:spPr>
          <a:solidFill>
            <a:schemeClr val="accent2">
              <a:lumMod val="50000"/>
            </a:schemeClr>
          </a:solidFill>
          <a:ln>
            <a:noFill/>
          </a:ln>
          <a:effectLst>
            <a:outerShdw blurRad="317500" algn="ctr" rotWithShape="0">
              <a:prstClr val="black">
                <a:alpha val="25000"/>
              </a:prstClr>
            </a:outerShdw>
          </a:effectLst>
        </c:spPr>
      </c:pivotFmt>
      <c:pivotFmt>
        <c:idx val="36"/>
        <c:spPr>
          <a:solidFill>
            <a:schemeClr val="accent2">
              <a:lumMod val="5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4804868689659407"/>
          <c:y val="0.13839116264313114"/>
          <c:w val="0.75998522406921354"/>
          <c:h val="0.7103088777030272"/>
        </c:manualLayout>
      </c:layout>
      <c:barChart>
        <c:barDir val="bar"/>
        <c:grouping val="clustered"/>
        <c:varyColors val="0"/>
        <c:ser>
          <c:idx val="0"/>
          <c:order val="0"/>
          <c:tx>
            <c:strRef>
              <c:f>Sheet3!$B$3</c:f>
              <c:strCache>
                <c:ptCount val="1"/>
                <c:pt idx="0">
                  <c:v>Total</c:v>
                </c:pt>
              </c:strCache>
            </c:strRef>
          </c:tx>
          <c:spPr>
            <a:solidFill>
              <a:schemeClr val="accent2">
                <a:lumMod val="50000"/>
              </a:schemeClr>
            </a:solidFill>
            <a:ln>
              <a:noFill/>
            </a:ln>
            <a:effectLst>
              <a:outerShdw blurRad="317500" algn="ctr" rotWithShape="0">
                <a:prstClr val="black">
                  <a:alpha val="25000"/>
                </a:prstClr>
              </a:outerShdw>
            </a:effectLst>
          </c:spPr>
          <c:invertIfNegative val="0"/>
          <c:dPt>
            <c:idx val="0"/>
            <c:invertIfNegative val="0"/>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F45-41C3-9731-B0FDB14C691E}"/>
              </c:ext>
            </c:extLst>
          </c:dPt>
          <c:dLbls>
            <c:dLbl>
              <c:idx val="0"/>
              <c:tx>
                <c:rich>
                  <a:bodyPr/>
                  <a:lstStyle/>
                  <a:p>
                    <a:fld id="{73C3BE72-835B-42E5-8BA3-06B760564EB4}" type="VALUE">
                      <a:rPr lang="en-US">
                        <a:solidFill>
                          <a:schemeClr val="tx1"/>
                        </a:solidFill>
                      </a:rPr>
                      <a:pPr/>
                      <a:t>[VALUE]</a:t>
                    </a:fld>
                    <a:r>
                      <a:rPr lang="en-US">
                        <a:solidFill>
                          <a:schemeClr val="tx1"/>
                        </a:solidFill>
                      </a:rPr>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F45-41C3-9731-B0FDB14C69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Sheet3!$A$4:$A$18</c:f>
              <c:strCache>
                <c:ptCount val="15"/>
                <c:pt idx="0">
                  <c:v>Americano</c:v>
                </c:pt>
                <c:pt idx="1">
                  <c:v>Brownie</c:v>
                </c:pt>
                <c:pt idx="2">
                  <c:v>Cappuccino</c:v>
                </c:pt>
                <c:pt idx="3">
                  <c:v>Cheesecake</c:v>
                </c:pt>
                <c:pt idx="4">
                  <c:v>Club Sandwich</c:v>
                </c:pt>
                <c:pt idx="5">
                  <c:v>Cold Coffee</c:v>
                </c:pt>
                <c:pt idx="6">
                  <c:v>Croissant</c:v>
                </c:pt>
                <c:pt idx="7">
                  <c:v>Espresso</c:v>
                </c:pt>
                <c:pt idx="8">
                  <c:v>Latte</c:v>
                </c:pt>
                <c:pt idx="9">
                  <c:v>Mocha</c:v>
                </c:pt>
                <c:pt idx="10">
                  <c:v>Muffin</c:v>
                </c:pt>
                <c:pt idx="11">
                  <c:v>Pancakes</c:v>
                </c:pt>
                <c:pt idx="12">
                  <c:v>Pasta</c:v>
                </c:pt>
                <c:pt idx="13">
                  <c:v>Sandwich</c:v>
                </c:pt>
                <c:pt idx="14">
                  <c:v>Waffle</c:v>
                </c:pt>
              </c:strCache>
            </c:strRef>
          </c:cat>
          <c:val>
            <c:numRef>
              <c:f>Sheet3!$B$4:$B$18</c:f>
              <c:numCache>
                <c:formatCode>General</c:formatCode>
                <c:ptCount val="15"/>
                <c:pt idx="0">
                  <c:v>4</c:v>
                </c:pt>
                <c:pt idx="1">
                  <c:v>4</c:v>
                </c:pt>
                <c:pt idx="2">
                  <c:v>5</c:v>
                </c:pt>
                <c:pt idx="3">
                  <c:v>3</c:v>
                </c:pt>
                <c:pt idx="4">
                  <c:v>3</c:v>
                </c:pt>
                <c:pt idx="5">
                  <c:v>4</c:v>
                </c:pt>
                <c:pt idx="6">
                  <c:v>3</c:v>
                </c:pt>
                <c:pt idx="7">
                  <c:v>5</c:v>
                </c:pt>
                <c:pt idx="8">
                  <c:v>5</c:v>
                </c:pt>
                <c:pt idx="9">
                  <c:v>5</c:v>
                </c:pt>
                <c:pt idx="10">
                  <c:v>3</c:v>
                </c:pt>
                <c:pt idx="11">
                  <c:v>3</c:v>
                </c:pt>
                <c:pt idx="12">
                  <c:v>3</c:v>
                </c:pt>
                <c:pt idx="13">
                  <c:v>3</c:v>
                </c:pt>
                <c:pt idx="14">
                  <c:v>3</c:v>
                </c:pt>
              </c:numCache>
            </c:numRef>
          </c:val>
          <c:extLst>
            <c:ext xmlns:c16="http://schemas.microsoft.com/office/drawing/2014/chart" uri="{C3380CC4-5D6E-409C-BE32-E72D297353CC}">
              <c16:uniqueId val="{0000001E-EF45-41C3-9731-B0FDB14C691E}"/>
            </c:ext>
          </c:extLst>
        </c:ser>
        <c:dLbls>
          <c:dLblPos val="outEnd"/>
          <c:showLegendKey val="0"/>
          <c:showVal val="1"/>
          <c:showCatName val="0"/>
          <c:showSerName val="0"/>
          <c:showPercent val="0"/>
          <c:showBubbleSize val="0"/>
        </c:dLbls>
        <c:gapWidth val="100"/>
        <c:axId val="192413168"/>
        <c:axId val="192412688"/>
      </c:barChart>
      <c:valAx>
        <c:axId val="192412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30" b="0" i="0" u="none" strike="noStrike" kern="1200" baseline="0">
                <a:solidFill>
                  <a:schemeClr val="tx1"/>
                </a:solidFill>
                <a:latin typeface="Arial Black" panose="020B0A04020102020204" pitchFamily="34" charset="0"/>
                <a:ea typeface="+mn-ea"/>
                <a:cs typeface="+mn-cs"/>
              </a:defRPr>
            </a:pPr>
            <a:endParaRPr lang="en-US"/>
          </a:p>
        </c:txPr>
        <c:crossAx val="192413168"/>
        <c:crosses val="autoZero"/>
        <c:crossBetween val="between"/>
      </c:valAx>
      <c:catAx>
        <c:axId val="1924131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20" b="0" i="0" u="none" strike="noStrike" kern="1200" baseline="0">
                <a:solidFill>
                  <a:schemeClr val="tx1"/>
                </a:solidFill>
                <a:latin typeface="Arial Black" panose="020B0A04020102020204" pitchFamily="34" charset="0"/>
                <a:ea typeface="+mn-ea"/>
                <a:cs typeface="+mn-cs"/>
              </a:defRPr>
            </a:pPr>
            <a:endParaRPr lang="en-US"/>
          </a:p>
        </c:txPr>
        <c:crossAx val="19241268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[cafe_sales.xlsx]Sheet5!PivotTable3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BASED ON CATEGORY</a:t>
            </a:r>
          </a:p>
        </c:rich>
      </c:tx>
      <c:layout>
        <c:manualLayout>
          <c:xMode val="edge"/>
          <c:yMode val="edge"/>
          <c:x val="0.15253327995335786"/>
          <c:y val="3.30033174830786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2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manualLayout>
          <c:layoutTarget val="inner"/>
          <c:xMode val="edge"/>
          <c:yMode val="edge"/>
          <c:x val="0.1874519850874708"/>
          <c:y val="0.19825312309935891"/>
          <c:w val="0.4891606334572684"/>
          <c:h val="0.72793642020182603"/>
        </c:manualLayout>
      </c:layout>
      <c:pieChart>
        <c:varyColors val="1"/>
        <c:ser>
          <c:idx val="0"/>
          <c:order val="0"/>
          <c:tx>
            <c:strRef>
              <c:f>Sheet5!$B$3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BC88-4E11-8955-D2BD0EFEA761}"/>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BC88-4E11-8955-D2BD0EFEA76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2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Sheet5!$A$4:$A$5</c:f>
              <c:strCache>
                <c:ptCount val="2"/>
                <c:pt idx="0">
                  <c:v>Coffee</c:v>
                </c:pt>
                <c:pt idx="1">
                  <c:v>Food</c:v>
                </c:pt>
              </c:strCache>
            </c:strRef>
          </c:cat>
          <c:val>
            <c:numRef>
              <c:f>Sheet5!$B$4:$B$5</c:f>
              <c:numCache>
                <c:formatCode>"₹"\ #,##0.00</c:formatCode>
                <c:ptCount val="2"/>
                <c:pt idx="0">
                  <c:v>9500</c:v>
                </c:pt>
                <c:pt idx="1">
                  <c:v>10200</c:v>
                </c:pt>
              </c:numCache>
            </c:numRef>
          </c:val>
          <c:extLst>
            <c:ext xmlns:c16="http://schemas.microsoft.com/office/drawing/2014/chart" uri="{C3380CC4-5D6E-409C-BE32-E72D297353CC}">
              <c16:uniqueId val="{00000004-BC88-4E11-8955-D2BD0EFEA761}"/>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3180656258572074"/>
          <c:y val="0.67919885075195774"/>
          <c:w val="0.2096981627296588"/>
          <c:h val="0.1755053160064966"/>
        </c:manualLayout>
      </c:layout>
      <c:overlay val="0"/>
      <c:spPr>
        <a:noFill/>
        <a:ln>
          <a:noFill/>
        </a:ln>
        <a:effectLst/>
      </c:spPr>
      <c:txPr>
        <a:bodyPr rot="0" spcFirstLastPara="1" vertOverflow="ellipsis" vert="horz" wrap="square" anchor="ctr" anchorCtr="1"/>
        <a:lstStyle/>
        <a:p>
          <a:pPr>
            <a:defRPr sz="99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[cafe_sales.xlsx]Sheet7!PivotTable4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STAFF</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Sheet7!$A$4:$A$6</c:f>
              <c:strCache>
                <c:ptCount val="3"/>
                <c:pt idx="0">
                  <c:v>Amit</c:v>
                </c:pt>
                <c:pt idx="1">
                  <c:v>Priya</c:v>
                </c:pt>
                <c:pt idx="2">
                  <c:v>Rahul</c:v>
                </c:pt>
              </c:strCache>
            </c:strRef>
          </c:cat>
          <c:val>
            <c:numRef>
              <c:f>Sheet7!$B$4:$B$6</c:f>
              <c:numCache>
                <c:formatCode>General</c:formatCode>
                <c:ptCount val="3"/>
                <c:pt idx="0">
                  <c:v>7260</c:v>
                </c:pt>
                <c:pt idx="1">
                  <c:v>7130</c:v>
                </c:pt>
                <c:pt idx="2">
                  <c:v>6590</c:v>
                </c:pt>
              </c:numCache>
            </c:numRef>
          </c:val>
          <c:extLst>
            <c:ext xmlns:c16="http://schemas.microsoft.com/office/drawing/2014/chart" uri="{C3380CC4-5D6E-409C-BE32-E72D297353CC}">
              <c16:uniqueId val="{00000000-6031-456B-BE52-9591B4970DFB}"/>
            </c:ext>
          </c:extLst>
        </c:ser>
        <c:dLbls>
          <c:dLblPos val="outEnd"/>
          <c:showLegendKey val="0"/>
          <c:showVal val="1"/>
          <c:showCatName val="0"/>
          <c:showSerName val="0"/>
          <c:showPercent val="0"/>
          <c:showBubbleSize val="0"/>
        </c:dLbls>
        <c:gapWidth val="182"/>
        <c:axId val="180293760"/>
        <c:axId val="180306240"/>
      </c:barChart>
      <c:catAx>
        <c:axId val="18029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0" i="0" u="none" strike="noStrike" kern="1200" baseline="0">
                <a:solidFill>
                  <a:schemeClr val="tx1"/>
                </a:solidFill>
                <a:latin typeface="Arial Black" panose="020B0A04020102020204" pitchFamily="34" charset="0"/>
                <a:ea typeface="+mn-ea"/>
                <a:cs typeface="+mn-cs"/>
              </a:defRPr>
            </a:pPr>
            <a:endParaRPr lang="en-US"/>
          </a:p>
        </c:txPr>
        <c:crossAx val="180306240"/>
        <c:crosses val="autoZero"/>
        <c:auto val="1"/>
        <c:lblAlgn val="ctr"/>
        <c:lblOffset val="100"/>
        <c:noMultiLvlLbl val="0"/>
      </c:catAx>
      <c:valAx>
        <c:axId val="180306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30" b="1" i="0" u="none" strike="noStrike" kern="1200" baseline="0">
                <a:solidFill>
                  <a:schemeClr val="tx1"/>
                </a:solidFill>
                <a:latin typeface="Arial Black" panose="020B0A04020102020204" pitchFamily="34" charset="0"/>
                <a:ea typeface="+mn-ea"/>
                <a:cs typeface="+mn-cs"/>
              </a:defRPr>
            </a:pPr>
            <a:endParaRPr lang="en-US"/>
          </a:p>
        </c:txPr>
        <c:crossAx val="180293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PAYMENT_METHOD-BREAKDOWN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7EC3326-6EA7-45FB-A15D-152CAB115401}"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AFD773A3-7EA9-4E4D-98C2-EDC2D5A59699}" type="PERCENTAG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11A9A54-1147-49D1-856F-C803A5090D28}"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53F7C559-4940-4164-9158-78EACDFAE69A}"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3"/>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38DE1C4-E99F-460E-98DA-0C0DBA59B955}"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6211EEE1-AEB0-4DB5-B71D-D3F91BE43C95}"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11A9A54-1147-49D1-856F-C803A5090D28}"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53F7C559-4940-4164-9158-78EACDFAE69A}"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7EC3326-6EA7-45FB-A15D-152CAB115401}"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AFD773A3-7EA9-4E4D-98C2-EDC2D5A59699}" type="PERCENTAG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38DE1C4-E99F-460E-98DA-0C0DBA59B955}"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6211EEE1-AEB0-4DB5-B71D-D3F91BE43C95}"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11A9A54-1147-49D1-856F-C803A5090D28}" type="CATEGORYNAME">
                  <a:rPr lang="en-US" b="1">
                    <a:solidFill>
                      <a:schemeClr val="tx1"/>
                    </a:solidFill>
                  </a:rPr>
                  <a:pPr>
                    <a:defRPr/>
                  </a:pPr>
                  <a:t>[CATEGORY NAME]</a:t>
                </a:fld>
                <a:r>
                  <a:rPr lang="en-US" b="1" baseline="0">
                    <a:solidFill>
                      <a:schemeClr val="tx1"/>
                    </a:solidFill>
                  </a:rPr>
                  <a:t>
</a:t>
                </a:r>
                <a:fld id="{53F7C559-4940-4164-9158-78EACDFAE69A}" type="PERCENTAGE">
                  <a:rPr lang="en-US" b="1" baseline="0">
                    <a:solidFill>
                      <a:schemeClr val="tx1"/>
                    </a:solidFill>
                  </a:rPr>
                  <a:pPr>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7EC3326-6EA7-45FB-A15D-152CAB115401}" type="CATEGORYNAME">
                  <a:rPr lang="en-US" b="1">
                    <a:solidFill>
                      <a:schemeClr val="tx1"/>
                    </a:solidFill>
                  </a:rPr>
                  <a:pPr>
                    <a:defRPr/>
                  </a:pPr>
                  <a:t>[CATEGORY NAME]</a:t>
                </a:fld>
                <a:r>
                  <a:rPr lang="en-US" baseline="0"/>
                  <a:t>
</a:t>
                </a:r>
                <a:fld id="{AFD773A3-7EA9-4E4D-98C2-EDC2D5A59699}" type="PERCENTAGE">
                  <a:rPr lang="en-US" sz="1000" b="1" baseline="0">
                    <a:solidFill>
                      <a:schemeClr val="tx1"/>
                    </a:solidFill>
                  </a:rPr>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38DE1C4-E99F-460E-98DA-0C0DBA59B955}" type="CATEGORYNAME">
                  <a:rPr lang="en-US" b="1">
                    <a:solidFill>
                      <a:schemeClr val="tx1"/>
                    </a:solidFill>
                  </a:rPr>
                  <a:pPr>
                    <a:defRPr/>
                  </a:pPr>
                  <a:t>[CATEGORY NAME]</a:t>
                </a:fld>
                <a:r>
                  <a:rPr lang="en-US" b="1" baseline="0">
                    <a:solidFill>
                      <a:schemeClr val="tx1"/>
                    </a:solidFill>
                  </a:rPr>
                  <a:t>
</a:t>
                </a:r>
                <a:fld id="{6211EEE1-AEB0-4DB5-B71D-D3F91BE43C95}" type="PERCENTAGE">
                  <a:rPr lang="en-US" b="1" baseline="0">
                    <a:solidFill>
                      <a:schemeClr val="tx1"/>
                    </a:solidFill>
                  </a:rPr>
                  <a:pPr>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3F-4043-B1BF-46C00F4770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3F-4043-B1BF-46C00F4770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3F-4043-B1BF-46C00F4770EB}"/>
              </c:ext>
            </c:extLst>
          </c:dPt>
          <c:dLbls>
            <c:dLbl>
              <c:idx val="0"/>
              <c:tx>
                <c:rich>
                  <a:bodyPr/>
                  <a:lstStyle/>
                  <a:p>
                    <a:fld id="{E11A9A54-1147-49D1-856F-C803A5090D28}" type="CATEGORYNAME">
                      <a:rPr lang="en-US" b="1">
                        <a:solidFill>
                          <a:schemeClr val="tx1"/>
                        </a:solidFill>
                      </a:rPr>
                      <a:pPr/>
                      <a:t>[CATEGORY NAME]</a:t>
                    </a:fld>
                    <a:r>
                      <a:rPr lang="en-US" b="1" baseline="0">
                        <a:solidFill>
                          <a:schemeClr val="tx1"/>
                        </a:solidFill>
                      </a:rPr>
                      <a:t>
</a:t>
                    </a:r>
                    <a:fld id="{53F7C559-4940-4164-9158-78EACDFAE69A}" type="PERCENTAGE">
                      <a:rPr lang="en-US" b="1" baseline="0">
                        <a:solidFill>
                          <a:schemeClr val="tx1"/>
                        </a:solidFill>
                      </a:rPr>
                      <a:pPr/>
                      <a:t>[PERCENTAGE]</a:t>
                    </a:fld>
                    <a:endParaRPr lang="en-US"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B3F-4043-B1BF-46C00F4770EB}"/>
                </c:ext>
              </c:extLst>
            </c:dLbl>
            <c:dLbl>
              <c:idx val="1"/>
              <c:tx>
                <c:rich>
                  <a:bodyPr/>
                  <a:lstStyle/>
                  <a:p>
                    <a:fld id="{B7EC3326-6EA7-45FB-A15D-152CAB115401}" type="CATEGORYNAME">
                      <a:rPr lang="en-US" b="1">
                        <a:solidFill>
                          <a:schemeClr val="tx1"/>
                        </a:solidFill>
                      </a:rPr>
                      <a:pPr/>
                      <a:t>[CATEGORY NAME]</a:t>
                    </a:fld>
                    <a:r>
                      <a:rPr lang="en-US" baseline="0"/>
                      <a:t>
</a:t>
                    </a:r>
                    <a:fld id="{AFD773A3-7EA9-4E4D-98C2-EDC2D5A59699}" type="PERCENTAGE">
                      <a:rPr lang="en-US" sz="1000" b="1" baseline="0">
                        <a:solidFill>
                          <a:schemeClr val="tx1"/>
                        </a:solidFill>
                      </a:rPr>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B3F-4043-B1BF-46C00F4770EB}"/>
                </c:ext>
              </c:extLst>
            </c:dLbl>
            <c:dLbl>
              <c:idx val="2"/>
              <c:tx>
                <c:rich>
                  <a:bodyPr/>
                  <a:lstStyle/>
                  <a:p>
                    <a:fld id="{638DE1C4-E99F-460E-98DA-0C0DBA59B955}" type="CATEGORYNAME">
                      <a:rPr lang="en-US" b="1">
                        <a:solidFill>
                          <a:schemeClr val="tx1"/>
                        </a:solidFill>
                      </a:rPr>
                      <a:pPr/>
                      <a:t>[CATEGORY NAME]</a:t>
                    </a:fld>
                    <a:r>
                      <a:rPr lang="en-US" b="1" baseline="0">
                        <a:solidFill>
                          <a:schemeClr val="tx1"/>
                        </a:solidFill>
                      </a:rPr>
                      <a:t>
</a:t>
                    </a:r>
                    <a:fld id="{6211EEE1-AEB0-4DB5-B71D-D3F91BE43C95}" type="PERCENTAGE">
                      <a:rPr lang="en-US" b="1" baseline="0">
                        <a:solidFill>
                          <a:schemeClr val="tx1"/>
                        </a:solidFill>
                      </a:rPr>
                      <a:pPr/>
                      <a:t>[PERCENTAGE]</a:t>
                    </a:fld>
                    <a:endParaRPr lang="en-US"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B3F-4043-B1BF-46C00F4770E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Sheet1!$A$4:$A$6</c:f>
              <c:strCache>
                <c:ptCount val="3"/>
                <c:pt idx="0">
                  <c:v>Card</c:v>
                </c:pt>
                <c:pt idx="1">
                  <c:v>Cash</c:v>
                </c:pt>
                <c:pt idx="2">
                  <c:v>UPI</c:v>
                </c:pt>
              </c:strCache>
            </c:strRef>
          </c:cat>
          <c:val>
            <c:numRef>
              <c:f>Sheet1!$B$4:$B$6</c:f>
              <c:numCache>
                <c:formatCode>General</c:formatCode>
                <c:ptCount val="3"/>
                <c:pt idx="0">
                  <c:v>20</c:v>
                </c:pt>
                <c:pt idx="1">
                  <c:v>20</c:v>
                </c:pt>
                <c:pt idx="2">
                  <c:v>20</c:v>
                </c:pt>
              </c:numCache>
            </c:numRef>
          </c:val>
          <c:extLst>
            <c:ext xmlns:c16="http://schemas.microsoft.com/office/drawing/2014/chart" uri="{C3380CC4-5D6E-409C-BE32-E72D297353CC}">
              <c16:uniqueId val="{00000006-4B3F-4043-B1BF-46C00F4770E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1918191924739305"/>
          <c:y val="0.36913094196558766"/>
          <c:w val="0.15581815324356441"/>
          <c:h val="0.34771005369550989"/>
        </c:manualLayout>
      </c:layout>
      <c:overlay val="0"/>
      <c:spPr>
        <a:noFill/>
        <a:ln>
          <a:noFill/>
        </a:ln>
        <a:effectLst/>
      </c:spPr>
      <c:txPr>
        <a:bodyPr rot="0" spcFirstLastPara="1" vertOverflow="ellipsis" vert="horz" wrap="square" anchor="ctr" anchorCtr="1"/>
        <a:lstStyle/>
        <a:p>
          <a:pPr>
            <a:defRPr sz="92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DAY-WISE-ORDERS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0EC31F-7B05-4E27-9C28-38BBC2749A09}"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A54B8A-6084-4986-B112-2EE84578CD14}"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solidFill>
              <a:schemeClr val="accent2"/>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0EC31F-7B05-4E27-9C28-38BBC2749A09}"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A54B8A-6084-4986-B112-2EE84578CD14}"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4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solidFill>
              <a:schemeClr val="accent2"/>
            </a:solidFill>
          </a:ln>
          <a:effectLst/>
        </c:spPr>
        <c:dLbl>
          <c:idx val="0"/>
          <c:tx>
            <c:rich>
              <a:bodyPr rot="0" spcFirstLastPara="1" vertOverflow="ellipsis" vert="horz" wrap="square" lIns="38100" tIns="19050" rIns="38100" bIns="19050" anchor="ctr" anchorCtr="1">
                <a:spAutoFit/>
              </a:bodyPr>
              <a:lstStyle/>
              <a:p>
                <a:pPr>
                  <a:defRPr sz="940" b="1" i="0" u="none" strike="noStrike" kern="1200" baseline="0">
                    <a:solidFill>
                      <a:schemeClr val="tx1">
                        <a:lumMod val="75000"/>
                        <a:lumOff val="25000"/>
                      </a:schemeClr>
                    </a:solidFill>
                    <a:latin typeface="Arial Black" panose="020B0A04020102020204" pitchFamily="34" charset="0"/>
                    <a:ea typeface="+mn-ea"/>
                    <a:cs typeface="+mn-cs"/>
                  </a:defRPr>
                </a:pPr>
                <a:fld id="{B90EC31F-7B05-4E27-9C28-38BBC2749A09}" type="VALUE">
                  <a:rPr lang="en-US" sz="940" b="1" i="0" baseline="0">
                    <a:solidFill>
                      <a:schemeClr val="tx1"/>
                    </a:solidFill>
                    <a:latin typeface="Arial Black" panose="020B0A04020102020204" pitchFamily="34" charset="0"/>
                  </a:rPr>
                  <a:pPr>
                    <a:defRPr sz="940" b="1" i="0" baseline="0">
                      <a:latin typeface="Arial Black" panose="020B0A040201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4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40" b="1" i="0" u="none" strike="noStrike" kern="1200" baseline="0">
                    <a:solidFill>
                      <a:schemeClr val="tx1">
                        <a:lumMod val="75000"/>
                        <a:lumOff val="25000"/>
                      </a:schemeClr>
                    </a:solidFill>
                    <a:latin typeface="Arial Black" panose="020B0A04020102020204" pitchFamily="34" charset="0"/>
                    <a:ea typeface="+mn-ea"/>
                    <a:cs typeface="+mn-cs"/>
                  </a:defRPr>
                </a:pPr>
                <a:fld id="{A9A54B8A-6084-4986-B112-2EE84578CD14}" type="VALUE">
                  <a:rPr lang="en-US" sz="940" b="1" i="0" baseline="0">
                    <a:solidFill>
                      <a:schemeClr val="tx1"/>
                    </a:solidFill>
                    <a:latin typeface="Arial Black" panose="020B0A04020102020204" pitchFamily="34" charset="0"/>
                  </a:rPr>
                  <a:pPr>
                    <a:defRPr sz="940" b="1" i="0" baseline="0">
                      <a:latin typeface="Arial Black" panose="020B0A040201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4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01-DCE2-4AA5-BCA6-BA7FDE8D081C}"/>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CE2-4AA5-BCA6-BA7FDE8D081C}"/>
              </c:ext>
            </c:extLst>
          </c:dPt>
          <c:dLbls>
            <c:dLbl>
              <c:idx val="0"/>
              <c:tx>
                <c:rich>
                  <a:bodyPr/>
                  <a:lstStyle/>
                  <a:p>
                    <a:fld id="{B90EC31F-7B05-4E27-9C28-38BBC2749A09}" type="VALUE">
                      <a:rPr lang="en-US" sz="940" b="1" i="0" baseline="0">
                        <a:solidFill>
                          <a:schemeClr val="tx1"/>
                        </a:solidFill>
                        <a:latin typeface="Arial Black" panose="020B0A04020102020204" pitchFamily="34" charset="0"/>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CE2-4AA5-BCA6-BA7FDE8D081C}"/>
                </c:ext>
              </c:extLst>
            </c:dLbl>
            <c:dLbl>
              <c:idx val="1"/>
              <c:tx>
                <c:rich>
                  <a:bodyPr/>
                  <a:lstStyle/>
                  <a:p>
                    <a:fld id="{A9A54B8A-6084-4986-B112-2EE84578CD14}" type="VALUE">
                      <a:rPr lang="en-US" sz="940" b="1" i="0" baseline="0">
                        <a:solidFill>
                          <a:schemeClr val="tx1"/>
                        </a:solidFill>
                        <a:latin typeface="Arial Black" panose="020B0A04020102020204" pitchFamily="34" charset="0"/>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CE2-4AA5-BCA6-BA7FDE8D081C}"/>
                </c:ext>
              </c:extLst>
            </c:dLbl>
            <c:spPr>
              <a:noFill/>
              <a:ln>
                <a:noFill/>
              </a:ln>
              <a:effectLst/>
            </c:spPr>
            <c:txPr>
              <a:bodyPr rot="0" spcFirstLastPara="1" vertOverflow="ellipsis" vert="horz" wrap="square" lIns="38100" tIns="19050" rIns="38100" bIns="19050" anchor="ctr" anchorCtr="1">
                <a:spAutoFit/>
              </a:bodyPr>
              <a:lstStyle/>
              <a:p>
                <a:pPr>
                  <a:defRPr sz="94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Weekday</c:v>
                </c:pt>
                <c:pt idx="1">
                  <c:v>Weekend</c:v>
                </c:pt>
              </c:strCache>
            </c:strRef>
          </c:cat>
          <c:val>
            <c:numRef>
              <c:f>Sheet2!$B$4:$B$6</c:f>
              <c:numCache>
                <c:formatCode>General</c:formatCode>
                <c:ptCount val="2"/>
                <c:pt idx="0">
                  <c:v>14750</c:v>
                </c:pt>
                <c:pt idx="1">
                  <c:v>6230</c:v>
                </c:pt>
              </c:numCache>
            </c:numRef>
          </c:val>
          <c:extLst>
            <c:ext xmlns:c16="http://schemas.microsoft.com/office/drawing/2014/chart" uri="{C3380CC4-5D6E-409C-BE32-E72D297353CC}">
              <c16:uniqueId val="{00000004-DCE2-4AA5-BCA6-BA7FDE8D081C}"/>
            </c:ext>
          </c:extLst>
        </c:ser>
        <c:dLbls>
          <c:dLblPos val="outEnd"/>
          <c:showLegendKey val="0"/>
          <c:showVal val="1"/>
          <c:showCatName val="0"/>
          <c:showSerName val="0"/>
          <c:showPercent val="0"/>
          <c:showBubbleSize val="0"/>
        </c:dLbls>
        <c:gapWidth val="219"/>
        <c:overlap val="-27"/>
        <c:axId val="264442767"/>
        <c:axId val="264441327"/>
      </c:barChart>
      <c:catAx>
        <c:axId val="26444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tx1"/>
                </a:solidFill>
                <a:latin typeface="Arial Black" panose="020B0A04020102020204" pitchFamily="34" charset="0"/>
                <a:ea typeface="+mn-ea"/>
                <a:cs typeface="+mn-cs"/>
              </a:defRPr>
            </a:pPr>
            <a:endParaRPr lang="en-US"/>
          </a:p>
        </c:txPr>
        <c:crossAx val="264441327"/>
        <c:crosses val="autoZero"/>
        <c:auto val="1"/>
        <c:lblAlgn val="ctr"/>
        <c:lblOffset val="100"/>
        <c:noMultiLvlLbl val="0"/>
      </c:catAx>
      <c:valAx>
        <c:axId val="26444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20" b="0" i="0" u="none" strike="noStrike" kern="1200" baseline="0">
                <a:solidFill>
                  <a:schemeClr val="tx1"/>
                </a:solidFill>
                <a:latin typeface="Arial Black" panose="020B0A04020102020204" pitchFamily="34" charset="0"/>
                <a:ea typeface="+mn-ea"/>
                <a:cs typeface="+mn-cs"/>
              </a:defRPr>
            </a:pPr>
            <a:endParaRPr lang="en-US"/>
          </a:p>
        </c:txPr>
        <c:crossAx val="264442767"/>
        <c:crosses val="autoZero"/>
        <c:crossBetween val="between"/>
      </c:valAx>
      <c:spPr>
        <a:noFill/>
        <a:ln>
          <a:noFill/>
        </a:ln>
        <a:effectLst/>
      </c:spPr>
    </c:plotArea>
    <c:legend>
      <c:legendPos val="r"/>
      <c:layout>
        <c:manualLayout>
          <c:xMode val="edge"/>
          <c:yMode val="edge"/>
          <c:x val="0.82750524290595795"/>
          <c:y val="0.53369677076623412"/>
          <c:w val="0.16026324898252561"/>
          <c:h val="0.25342928047343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[cafe_sales.xlsx]Sheet3!PivotTable2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Item</a:t>
            </a:r>
            <a:r>
              <a:rPr lang="en-US" baseline="0"/>
              <a:t> of sales</a:t>
            </a:r>
            <a:endParaRPr lang="en-US"/>
          </a:p>
        </c:rich>
      </c:tx>
      <c:layout>
        <c:manualLayout>
          <c:xMode val="edge"/>
          <c:yMode val="edge"/>
          <c:x val="0.34290095317032737"/>
          <c:y val="1.85185185185185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3C3BE72-835B-42E5-8BA3-06B760564EB4}" type="VALUE">
                  <a:rPr lang="en-US"/>
                  <a:pPr>
                    <a:defRPr/>
                  </a:pPr>
                  <a:t>[VALUE]</a:t>
                </a:fld>
                <a:r>
                  <a:rPr lang="en-US"/>
                  <a:t>, </a:t>
                </a:r>
                <a:fld id="{88D2F5B7-D6CF-4602-A4B1-50A9B9690467}"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050125313283207E-2"/>
          <c:y val="0.15726851851851853"/>
          <c:w val="0.84535867227122929"/>
          <c:h val="0.84273148148148147"/>
        </c:manualLayout>
      </c:layout>
      <c:pie3DChart>
        <c:varyColors val="1"/>
        <c:ser>
          <c:idx val="0"/>
          <c:order val="0"/>
          <c:tx>
            <c:strRef>
              <c:f>Sheet3!$B$3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2-880F-42F8-A1D8-70B085B0F208}"/>
              </c:ext>
            </c:extLst>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880F-42F8-A1D8-70B085B0F208}"/>
              </c:ext>
            </c:extLst>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4-880F-42F8-A1D8-70B085B0F208}"/>
              </c:ext>
            </c:extLst>
          </c:dPt>
          <c:dPt>
            <c:idx val="3"/>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E31-4628-AB9C-4C4F8689E57E}"/>
              </c:ext>
            </c:extLst>
          </c:dPt>
          <c:dPt>
            <c:idx val="4"/>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880F-42F8-A1D8-70B085B0F208}"/>
              </c:ext>
            </c:extLst>
          </c:dPt>
          <c:dPt>
            <c:idx val="5"/>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3E31-4628-AB9C-4C4F8689E57E}"/>
              </c:ext>
            </c:extLst>
          </c:dPt>
          <c:dPt>
            <c:idx val="6"/>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3E31-4628-AB9C-4C4F8689E57E}"/>
              </c:ext>
            </c:extLst>
          </c:dPt>
          <c:dPt>
            <c:idx val="7"/>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3E31-4628-AB9C-4C4F8689E57E}"/>
              </c:ext>
            </c:extLst>
          </c:dPt>
          <c:dPt>
            <c:idx val="8"/>
            <c:bubble3D val="0"/>
            <c:spPr>
              <a:solidFill>
                <a:schemeClr val="accent5">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3E31-4628-AB9C-4C4F8689E57E}"/>
              </c:ext>
            </c:extLst>
          </c:dPt>
          <c:dPt>
            <c:idx val="9"/>
            <c:bubble3D val="0"/>
            <c:spPr>
              <a:solidFill>
                <a:schemeClr val="accent1">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3E31-4628-AB9C-4C4F8689E57E}"/>
              </c:ext>
            </c:extLst>
          </c:dPt>
          <c:dPt>
            <c:idx val="10"/>
            <c:bubble3D val="0"/>
            <c:spPr>
              <a:solidFill>
                <a:schemeClr val="accent3">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3E31-4628-AB9C-4C4F8689E57E}"/>
              </c:ext>
            </c:extLst>
          </c:dPt>
          <c:dPt>
            <c:idx val="11"/>
            <c:bubble3D val="0"/>
            <c:spPr>
              <a:solidFill>
                <a:schemeClr val="accent5">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3E31-4628-AB9C-4C4F8689E57E}"/>
              </c:ext>
            </c:extLst>
          </c:dPt>
          <c:dPt>
            <c:idx val="12"/>
            <c:bubble3D val="0"/>
            <c:spPr>
              <a:solidFill>
                <a:schemeClr val="accent1">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3E31-4628-AB9C-4C4F8689E57E}"/>
              </c:ext>
            </c:extLst>
          </c:dPt>
          <c:dPt>
            <c:idx val="13"/>
            <c:bubble3D val="0"/>
            <c:spPr>
              <a:solidFill>
                <a:schemeClr val="accent3">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3E31-4628-AB9C-4C4F8689E57E}"/>
              </c:ext>
            </c:extLst>
          </c:dPt>
          <c:dPt>
            <c:idx val="14"/>
            <c:bubble3D val="0"/>
            <c:spPr>
              <a:solidFill>
                <a:schemeClr val="accent5">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3E31-4628-AB9C-4C4F8689E57E}"/>
              </c:ext>
            </c:extLst>
          </c:dPt>
          <c:dLbls>
            <c:dLbl>
              <c:idx val="0"/>
              <c:tx>
                <c:rich>
                  <a:bodyPr/>
                  <a:lstStyle/>
                  <a:p>
                    <a:fld id="{73C3BE72-835B-42E5-8BA3-06B760564EB4}" type="VALUE">
                      <a:rPr lang="en-US"/>
                      <a:pPr/>
                      <a:t>[VALUE]</a:t>
                    </a:fld>
                    <a:r>
                      <a:rPr lang="en-US"/>
                      <a:t>, </a:t>
                    </a:r>
                    <a:fld id="{88D2F5B7-D6CF-4602-A4B1-50A9B9690467}" type="PERCENTAGE">
                      <a:rPr lang="en-US"/>
                      <a:pPr/>
                      <a:t>[PERCENTAGE]</a:t>
                    </a:fld>
                    <a:endParaRPr lang="en-US"/>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80F-42F8-A1D8-70B085B0F20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Sheet3!$A$4:$A$18</c:f>
              <c:strCache>
                <c:ptCount val="15"/>
                <c:pt idx="0">
                  <c:v>Americano</c:v>
                </c:pt>
                <c:pt idx="1">
                  <c:v>Brownie</c:v>
                </c:pt>
                <c:pt idx="2">
                  <c:v>Cappuccino</c:v>
                </c:pt>
                <c:pt idx="3">
                  <c:v>Cheesecake</c:v>
                </c:pt>
                <c:pt idx="4">
                  <c:v>Club Sandwich</c:v>
                </c:pt>
                <c:pt idx="5">
                  <c:v>Cold Coffee</c:v>
                </c:pt>
                <c:pt idx="6">
                  <c:v>Croissant</c:v>
                </c:pt>
                <c:pt idx="7">
                  <c:v>Espresso</c:v>
                </c:pt>
                <c:pt idx="8">
                  <c:v>Latte</c:v>
                </c:pt>
                <c:pt idx="9">
                  <c:v>Mocha</c:v>
                </c:pt>
                <c:pt idx="10">
                  <c:v>Muffin</c:v>
                </c:pt>
                <c:pt idx="11">
                  <c:v>Pancakes</c:v>
                </c:pt>
                <c:pt idx="12">
                  <c:v>Pasta</c:v>
                </c:pt>
                <c:pt idx="13">
                  <c:v>Sandwich</c:v>
                </c:pt>
                <c:pt idx="14">
                  <c:v>Waffle</c:v>
                </c:pt>
              </c:strCache>
            </c:strRef>
          </c:cat>
          <c:val>
            <c:numRef>
              <c:f>Sheet3!$B$4:$B$18</c:f>
              <c:numCache>
                <c:formatCode>General</c:formatCode>
                <c:ptCount val="15"/>
                <c:pt idx="0">
                  <c:v>4</c:v>
                </c:pt>
                <c:pt idx="1">
                  <c:v>4</c:v>
                </c:pt>
                <c:pt idx="2">
                  <c:v>5</c:v>
                </c:pt>
                <c:pt idx="3">
                  <c:v>3</c:v>
                </c:pt>
                <c:pt idx="4">
                  <c:v>3</c:v>
                </c:pt>
                <c:pt idx="5">
                  <c:v>4</c:v>
                </c:pt>
                <c:pt idx="6">
                  <c:v>3</c:v>
                </c:pt>
                <c:pt idx="7">
                  <c:v>5</c:v>
                </c:pt>
                <c:pt idx="8">
                  <c:v>5</c:v>
                </c:pt>
                <c:pt idx="9">
                  <c:v>5</c:v>
                </c:pt>
                <c:pt idx="10">
                  <c:v>3</c:v>
                </c:pt>
                <c:pt idx="11">
                  <c:v>3</c:v>
                </c:pt>
                <c:pt idx="12">
                  <c:v>3</c:v>
                </c:pt>
                <c:pt idx="13">
                  <c:v>3</c:v>
                </c:pt>
                <c:pt idx="14">
                  <c:v>3</c:v>
                </c:pt>
              </c:numCache>
            </c:numRef>
          </c:val>
          <c:extLst>
            <c:ext xmlns:c16="http://schemas.microsoft.com/office/drawing/2014/chart" uri="{C3380CC4-5D6E-409C-BE32-E72D297353CC}">
              <c16:uniqueId val="{00000000-880F-42F8-A1D8-70B085B0F208}"/>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Based on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FF6-469D-A5D5-6C0948F2F25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FF6-469D-A5D5-6C0948F2F2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Sheet5!$A$4:$A$5</c:f>
              <c:strCache>
                <c:ptCount val="2"/>
                <c:pt idx="0">
                  <c:v>Coffee</c:v>
                </c:pt>
                <c:pt idx="1">
                  <c:v>Food</c:v>
                </c:pt>
              </c:strCache>
            </c:strRef>
          </c:cat>
          <c:val>
            <c:numRef>
              <c:f>Sheet5!$B$4:$B$5</c:f>
              <c:numCache>
                <c:formatCode>"₹"\ #,##0.00</c:formatCode>
                <c:ptCount val="2"/>
                <c:pt idx="0">
                  <c:v>9500</c:v>
                </c:pt>
                <c:pt idx="1">
                  <c:v>10200</c:v>
                </c:pt>
              </c:numCache>
            </c:numRef>
          </c:val>
          <c:extLst>
            <c:ext xmlns:c16="http://schemas.microsoft.com/office/drawing/2014/chart" uri="{C3380CC4-5D6E-409C-BE32-E72D297353CC}">
              <c16:uniqueId val="{00000000-E330-42E0-903A-100902F2266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Sheet7!$A$4:$A$6</c:f>
              <c:strCache>
                <c:ptCount val="3"/>
                <c:pt idx="0">
                  <c:v>Amit</c:v>
                </c:pt>
                <c:pt idx="1">
                  <c:v>Priya</c:v>
                </c:pt>
                <c:pt idx="2">
                  <c:v>Rahul</c:v>
                </c:pt>
              </c:strCache>
            </c:strRef>
          </c:cat>
          <c:val>
            <c:numRef>
              <c:f>Sheet7!$B$4:$B$6</c:f>
              <c:numCache>
                <c:formatCode>General</c:formatCode>
                <c:ptCount val="3"/>
                <c:pt idx="0">
                  <c:v>7260</c:v>
                </c:pt>
                <c:pt idx="1">
                  <c:v>7130</c:v>
                </c:pt>
                <c:pt idx="2">
                  <c:v>6590</c:v>
                </c:pt>
              </c:numCache>
            </c:numRef>
          </c:val>
          <c:extLst>
            <c:ext xmlns:c16="http://schemas.microsoft.com/office/drawing/2014/chart" uri="{C3380CC4-5D6E-409C-BE32-E72D297353CC}">
              <c16:uniqueId val="{00000000-5127-4EC4-9476-D101C6D1A87F}"/>
            </c:ext>
          </c:extLst>
        </c:ser>
        <c:dLbls>
          <c:dLblPos val="outEnd"/>
          <c:showLegendKey val="0"/>
          <c:showVal val="1"/>
          <c:showCatName val="0"/>
          <c:showSerName val="0"/>
          <c:showPercent val="0"/>
          <c:showBubbleSize val="0"/>
        </c:dLbls>
        <c:gapWidth val="182"/>
        <c:axId val="180293760"/>
        <c:axId val="180306240"/>
      </c:barChart>
      <c:catAx>
        <c:axId val="18029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80306240"/>
        <c:crosses val="autoZero"/>
        <c:auto val="1"/>
        <c:lblAlgn val="ctr"/>
        <c:lblOffset val="100"/>
        <c:noMultiLvlLbl val="0"/>
      </c:catAx>
      <c:valAx>
        <c:axId val="180306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0293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PAYMENT_METHOD-BREAKDOWN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7EC3326-6EA7-45FB-A15D-152CAB115401}" type="CATEGORYNAME">
                  <a:rPr lang="en-US" b="1">
                    <a:solidFill>
                      <a:schemeClr val="tx1"/>
                    </a:solidFill>
                  </a:rPr>
                  <a:pPr>
                    <a:defRPr/>
                  </a:pPr>
                  <a:t>[CATEGORY NAME]</a:t>
                </a:fld>
                <a:r>
                  <a:rPr lang="en-US" baseline="0"/>
                  <a:t>
</a:t>
                </a:r>
                <a:fld id="{AFD773A3-7EA9-4E4D-98C2-EDC2D5A59699}" type="PERCENTAGE">
                  <a:rPr lang="en-US" sz="1000" b="1" baseline="0">
                    <a:solidFill>
                      <a:schemeClr val="tx1"/>
                    </a:solidFill>
                  </a:rPr>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11A9A54-1147-49D1-856F-C803A5090D28}" type="CATEGORYNAME">
                  <a:rPr lang="en-US" b="1">
                    <a:solidFill>
                      <a:schemeClr val="tx1"/>
                    </a:solidFill>
                  </a:rPr>
                  <a:pPr>
                    <a:defRPr/>
                  </a:pPr>
                  <a:t>[CATEGORY NAME]</a:t>
                </a:fld>
                <a:r>
                  <a:rPr lang="en-US" b="1" baseline="0">
                    <a:solidFill>
                      <a:schemeClr val="tx1"/>
                    </a:solidFill>
                  </a:rPr>
                  <a:t>
</a:t>
                </a:r>
                <a:fld id="{53F7C559-4940-4164-9158-78EACDFAE69A}" type="PERCENTAGE">
                  <a:rPr lang="en-US" b="1" baseline="0">
                    <a:solidFill>
                      <a:schemeClr val="tx1"/>
                    </a:solidFill>
                  </a:rPr>
                  <a:pPr>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38DE1C4-E99F-460E-98DA-0C0DBA59B955}" type="CATEGORYNAME">
                  <a:rPr lang="en-US" b="1">
                    <a:solidFill>
                      <a:schemeClr val="tx1"/>
                    </a:solidFill>
                  </a:rPr>
                  <a:pPr>
                    <a:defRPr/>
                  </a:pPr>
                  <a:t>[CATEGORY NAME]</a:t>
                </a:fld>
                <a:r>
                  <a:rPr lang="en-US" b="1" baseline="0">
                    <a:solidFill>
                      <a:schemeClr val="tx1"/>
                    </a:solidFill>
                  </a:rPr>
                  <a:t>
</a:t>
                </a:r>
                <a:fld id="{6211EEE1-AEB0-4DB5-B71D-D3F91BE43C95}" type="PERCENTAGE">
                  <a:rPr lang="en-US" b="1" baseline="0">
                    <a:solidFill>
                      <a:schemeClr val="tx1"/>
                    </a:solidFill>
                  </a:rPr>
                  <a:pPr>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92C-447D-8DDE-7E58C07622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92C-447D-8DDE-7E58C07622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592C-447D-8DDE-7E58C07622BB}"/>
              </c:ext>
            </c:extLst>
          </c:dPt>
          <c:dLbls>
            <c:dLbl>
              <c:idx val="0"/>
              <c:tx>
                <c:rich>
                  <a:bodyPr/>
                  <a:lstStyle/>
                  <a:p>
                    <a:fld id="{E11A9A54-1147-49D1-856F-C803A5090D28}" type="CATEGORYNAME">
                      <a:rPr lang="en-US" b="1">
                        <a:solidFill>
                          <a:schemeClr val="tx1"/>
                        </a:solidFill>
                      </a:rPr>
                      <a:pPr/>
                      <a:t>[CATEGORY NAME]</a:t>
                    </a:fld>
                    <a:r>
                      <a:rPr lang="en-US" b="1" baseline="0">
                        <a:solidFill>
                          <a:schemeClr val="tx1"/>
                        </a:solidFill>
                      </a:rPr>
                      <a:t>
</a:t>
                    </a:r>
                    <a:fld id="{53F7C559-4940-4164-9158-78EACDFAE69A}" type="PERCENTAGE">
                      <a:rPr lang="en-US" b="1" baseline="0">
                        <a:solidFill>
                          <a:schemeClr val="tx1"/>
                        </a:solidFill>
                      </a:rPr>
                      <a:pPr/>
                      <a:t>[PERCENTAGE]</a:t>
                    </a:fld>
                    <a:endParaRPr lang="en-US"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92C-447D-8DDE-7E58C07622BB}"/>
                </c:ext>
              </c:extLst>
            </c:dLbl>
            <c:dLbl>
              <c:idx val="1"/>
              <c:tx>
                <c:rich>
                  <a:bodyPr/>
                  <a:lstStyle/>
                  <a:p>
                    <a:fld id="{B7EC3326-6EA7-45FB-A15D-152CAB115401}" type="CATEGORYNAME">
                      <a:rPr lang="en-US" b="1">
                        <a:solidFill>
                          <a:schemeClr val="tx1"/>
                        </a:solidFill>
                      </a:rPr>
                      <a:pPr/>
                      <a:t>[CATEGORY NAME]</a:t>
                    </a:fld>
                    <a:r>
                      <a:rPr lang="en-US" baseline="0"/>
                      <a:t>
</a:t>
                    </a:r>
                    <a:fld id="{AFD773A3-7EA9-4E4D-98C2-EDC2D5A59699}" type="PERCENTAGE">
                      <a:rPr lang="en-US" sz="1000" b="1" baseline="0">
                        <a:solidFill>
                          <a:schemeClr val="tx1"/>
                        </a:solidFill>
                      </a:rPr>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92C-447D-8DDE-7E58C07622BB}"/>
                </c:ext>
              </c:extLst>
            </c:dLbl>
            <c:dLbl>
              <c:idx val="2"/>
              <c:tx>
                <c:rich>
                  <a:bodyPr/>
                  <a:lstStyle/>
                  <a:p>
                    <a:fld id="{638DE1C4-E99F-460E-98DA-0C0DBA59B955}" type="CATEGORYNAME">
                      <a:rPr lang="en-US" b="1">
                        <a:solidFill>
                          <a:schemeClr val="tx1"/>
                        </a:solidFill>
                      </a:rPr>
                      <a:pPr/>
                      <a:t>[CATEGORY NAME]</a:t>
                    </a:fld>
                    <a:r>
                      <a:rPr lang="en-US" b="1" baseline="0">
                        <a:solidFill>
                          <a:schemeClr val="tx1"/>
                        </a:solidFill>
                      </a:rPr>
                      <a:t>
</a:t>
                    </a:r>
                    <a:fld id="{6211EEE1-AEB0-4DB5-B71D-D3F91BE43C95}" type="PERCENTAGE">
                      <a:rPr lang="en-US" b="1" baseline="0">
                        <a:solidFill>
                          <a:schemeClr val="tx1"/>
                        </a:solidFill>
                      </a:rPr>
                      <a:pPr/>
                      <a:t>[PERCENTAGE]</a:t>
                    </a:fld>
                    <a:endParaRPr lang="en-US"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92C-447D-8DDE-7E58C07622B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Sheet1!$A$4:$A$6</c:f>
              <c:strCache>
                <c:ptCount val="3"/>
                <c:pt idx="0">
                  <c:v>Card</c:v>
                </c:pt>
                <c:pt idx="1">
                  <c:v>Cash</c:v>
                </c:pt>
                <c:pt idx="2">
                  <c:v>UPI</c:v>
                </c:pt>
              </c:strCache>
            </c:strRef>
          </c:cat>
          <c:val>
            <c:numRef>
              <c:f>Sheet1!$B$4:$B$6</c:f>
              <c:numCache>
                <c:formatCode>General</c:formatCode>
                <c:ptCount val="3"/>
                <c:pt idx="0">
                  <c:v>20</c:v>
                </c:pt>
                <c:pt idx="1">
                  <c:v>20</c:v>
                </c:pt>
                <c:pt idx="2">
                  <c:v>20</c:v>
                </c:pt>
              </c:numCache>
            </c:numRef>
          </c:val>
          <c:extLst>
            <c:ext xmlns:c16="http://schemas.microsoft.com/office/drawing/2014/chart" uri="{C3380CC4-5D6E-409C-BE32-E72D297353CC}">
              <c16:uniqueId val="{00000000-592C-447D-8DDE-7E58C07622B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5968985126859145"/>
          <c:y val="0.36913094196558766"/>
          <c:w val="0.11531014873140857"/>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DAY-WISE-ORDERS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0EC31F-7B05-4E27-9C28-38BBC2749A09}" type="VALUE">
                  <a:rPr lang="en-US"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A54B8A-6084-4986-B112-2EE84578CD14}" type="VALUE">
                  <a:rPr lang="en-US"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02-4303-46F8-8642-531A205B8EBB}"/>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4303-46F8-8642-531A205B8EBB}"/>
              </c:ext>
            </c:extLst>
          </c:dPt>
          <c:dLbls>
            <c:dLbl>
              <c:idx val="0"/>
              <c:tx>
                <c:rich>
                  <a:bodyPr/>
                  <a:lstStyle/>
                  <a:p>
                    <a:fld id="{B90EC31F-7B05-4E27-9C28-38BBC2749A09}"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303-46F8-8642-531A205B8EBB}"/>
                </c:ext>
              </c:extLst>
            </c:dLbl>
            <c:dLbl>
              <c:idx val="1"/>
              <c:tx>
                <c:rich>
                  <a:bodyPr/>
                  <a:lstStyle/>
                  <a:p>
                    <a:fld id="{A9A54B8A-6084-4986-B112-2EE84578CD14}"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303-46F8-8642-531A205B8E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Weekday</c:v>
                </c:pt>
                <c:pt idx="1">
                  <c:v>Weekend</c:v>
                </c:pt>
              </c:strCache>
            </c:strRef>
          </c:cat>
          <c:val>
            <c:numRef>
              <c:f>Sheet2!$B$4:$B$6</c:f>
              <c:numCache>
                <c:formatCode>General</c:formatCode>
                <c:ptCount val="2"/>
                <c:pt idx="0">
                  <c:v>14750</c:v>
                </c:pt>
                <c:pt idx="1">
                  <c:v>6230</c:v>
                </c:pt>
              </c:numCache>
            </c:numRef>
          </c:val>
          <c:extLst>
            <c:ext xmlns:c16="http://schemas.microsoft.com/office/drawing/2014/chart" uri="{C3380CC4-5D6E-409C-BE32-E72D297353CC}">
              <c16:uniqueId val="{00000000-4303-46F8-8642-531A205B8EBB}"/>
            </c:ext>
          </c:extLst>
        </c:ser>
        <c:dLbls>
          <c:dLblPos val="outEnd"/>
          <c:showLegendKey val="0"/>
          <c:showVal val="1"/>
          <c:showCatName val="0"/>
          <c:showSerName val="0"/>
          <c:showPercent val="0"/>
          <c:showBubbleSize val="0"/>
        </c:dLbls>
        <c:gapWidth val="219"/>
        <c:overlap val="-27"/>
        <c:axId val="264442767"/>
        <c:axId val="264441327"/>
      </c:barChart>
      <c:catAx>
        <c:axId val="26444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41327"/>
        <c:crosses val="autoZero"/>
        <c:auto val="1"/>
        <c:lblAlgn val="ctr"/>
        <c:lblOffset val="100"/>
        <c:noMultiLvlLbl val="0"/>
      </c:catAx>
      <c:valAx>
        <c:axId val="26444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4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161925</xdr:colOff>
      <xdr:row>1</xdr:row>
      <xdr:rowOff>66675</xdr:rowOff>
    </xdr:from>
    <xdr:to>
      <xdr:col>10</xdr:col>
      <xdr:colOff>466725</xdr:colOff>
      <xdr:row>17</xdr:row>
      <xdr:rowOff>23812</xdr:rowOff>
    </xdr:to>
    <xdr:graphicFrame macro="">
      <xdr:nvGraphicFramePr>
        <xdr:cNvPr id="2" name="Chart 1">
          <a:extLst>
            <a:ext uri="{FF2B5EF4-FFF2-40B4-BE49-F238E27FC236}">
              <a16:creationId xmlns:a16="http://schemas.microsoft.com/office/drawing/2014/main" id="{6CE4C22F-5266-6F47-E99B-B69BAE690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52191</xdr:colOff>
      <xdr:row>0</xdr:row>
      <xdr:rowOff>26096</xdr:rowOff>
    </xdr:from>
    <xdr:to>
      <xdr:col>7</xdr:col>
      <xdr:colOff>485145</xdr:colOff>
      <xdr:row>4</xdr:row>
      <xdr:rowOff>65239</xdr:rowOff>
    </xdr:to>
    <xdr:sp macro="" textlink="">
      <xdr:nvSpPr>
        <xdr:cNvPr id="2" name="Rectangle: Rounded Corners 1">
          <a:extLst>
            <a:ext uri="{FF2B5EF4-FFF2-40B4-BE49-F238E27FC236}">
              <a16:creationId xmlns:a16="http://schemas.microsoft.com/office/drawing/2014/main" id="{7C39911F-3055-3766-6BEF-81AAC9E26E3C}"/>
            </a:ext>
          </a:extLst>
        </xdr:cNvPr>
        <xdr:cNvSpPr/>
      </xdr:nvSpPr>
      <xdr:spPr>
        <a:xfrm>
          <a:off x="52191" y="26096"/>
          <a:ext cx="4725728" cy="822020"/>
        </a:xfrm>
        <a:prstGeom prst="roundRect">
          <a:avLst/>
        </a:prstGeom>
        <a:solidFill>
          <a:schemeClr val="accent2">
            <a:lumMod val="20000"/>
            <a:lumOff val="80000"/>
          </a:schemeClr>
        </a:solidFill>
        <a:ln w="12700">
          <a:solidFill>
            <a:schemeClr val="bg2">
              <a:lumMod val="1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u="dbl">
              <a:latin typeface="Aptos Narrow" panose="020B0004020202020204" pitchFamily="34" charset="0"/>
            </a:rPr>
            <a:t>CAFE - SALES         </a:t>
          </a:r>
        </a:p>
      </xdr:txBody>
    </xdr:sp>
    <xdr:clientData/>
  </xdr:twoCellAnchor>
  <xdr:twoCellAnchor editAs="oneCell">
    <xdr:from>
      <xdr:col>5</xdr:col>
      <xdr:colOff>341676</xdr:colOff>
      <xdr:row>0</xdr:row>
      <xdr:rowOff>111125</xdr:rowOff>
    </xdr:from>
    <xdr:to>
      <xdr:col>6</xdr:col>
      <xdr:colOff>429958</xdr:colOff>
      <xdr:row>3</xdr:row>
      <xdr:rowOff>130175</xdr:rowOff>
    </xdr:to>
    <xdr:pic>
      <xdr:nvPicPr>
        <xdr:cNvPr id="6" name="Picture 5">
          <a:extLst>
            <a:ext uri="{FF2B5EF4-FFF2-40B4-BE49-F238E27FC236}">
              <a16:creationId xmlns:a16="http://schemas.microsoft.com/office/drawing/2014/main" id="{C345FE05-7B90-9320-FA3D-DEB5736C4F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57926" y="111125"/>
          <a:ext cx="691532" cy="59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571500</xdr:colOff>
      <xdr:row>5</xdr:row>
      <xdr:rowOff>145297</xdr:rowOff>
    </xdr:from>
    <xdr:to>
      <xdr:col>13</xdr:col>
      <xdr:colOff>532755</xdr:colOff>
      <xdr:row>19</xdr:row>
      <xdr:rowOff>161442</xdr:rowOff>
    </xdr:to>
    <xdr:graphicFrame macro="">
      <xdr:nvGraphicFramePr>
        <xdr:cNvPr id="7" name="Chart 6">
          <a:extLst>
            <a:ext uri="{FF2B5EF4-FFF2-40B4-BE49-F238E27FC236}">
              <a16:creationId xmlns:a16="http://schemas.microsoft.com/office/drawing/2014/main" id="{9B8ECBCC-30DD-44DB-AFDF-C09D9A589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415636</xdr:colOff>
      <xdr:row>5</xdr:row>
      <xdr:rowOff>26096</xdr:rowOff>
    </xdr:from>
    <xdr:to>
      <xdr:col>14</xdr:col>
      <xdr:colOff>311727</xdr:colOff>
      <xdr:row>20</xdr:row>
      <xdr:rowOff>173180</xdr:rowOff>
    </xdr:to>
    <xdr:sp macro="" textlink="">
      <xdr:nvSpPr>
        <xdr:cNvPr id="8" name="Rectangle: Rounded Corners 7">
          <a:extLst>
            <a:ext uri="{FF2B5EF4-FFF2-40B4-BE49-F238E27FC236}">
              <a16:creationId xmlns:a16="http://schemas.microsoft.com/office/drawing/2014/main" id="{3E2C4615-CB0D-90C4-4986-0B61ECD0700F}"/>
            </a:ext>
          </a:extLst>
        </xdr:cNvPr>
        <xdr:cNvSpPr/>
      </xdr:nvSpPr>
      <xdr:spPr>
        <a:xfrm>
          <a:off x="2255396" y="1004692"/>
          <a:ext cx="6641879" cy="3082872"/>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484910</xdr:colOff>
      <xdr:row>5</xdr:row>
      <xdr:rowOff>130480</xdr:rowOff>
    </xdr:from>
    <xdr:to>
      <xdr:col>25</xdr:col>
      <xdr:colOff>260959</xdr:colOff>
      <xdr:row>20</xdr:row>
      <xdr:rowOff>156576</xdr:rowOff>
    </xdr:to>
    <xdr:graphicFrame macro="">
      <xdr:nvGraphicFramePr>
        <xdr:cNvPr id="9" name="Chart 8">
          <a:extLst>
            <a:ext uri="{FF2B5EF4-FFF2-40B4-BE49-F238E27FC236}">
              <a16:creationId xmlns:a16="http://schemas.microsoft.com/office/drawing/2014/main" id="{93B0B4FE-5DD8-4C94-A2B0-09002D9E1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17320</xdr:colOff>
      <xdr:row>4</xdr:row>
      <xdr:rowOff>121228</xdr:rowOff>
    </xdr:from>
    <xdr:to>
      <xdr:col>33</xdr:col>
      <xdr:colOff>253087</xdr:colOff>
      <xdr:row>20</xdr:row>
      <xdr:rowOff>69274</xdr:rowOff>
    </xdr:to>
    <xdr:graphicFrame macro="">
      <xdr:nvGraphicFramePr>
        <xdr:cNvPr id="12" name="Chart 11">
          <a:extLst>
            <a:ext uri="{FF2B5EF4-FFF2-40B4-BE49-F238E27FC236}">
              <a16:creationId xmlns:a16="http://schemas.microsoft.com/office/drawing/2014/main" id="{24D7BA9F-EB24-48B0-818D-666C5533F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554183</xdr:colOff>
      <xdr:row>21</xdr:row>
      <xdr:rowOff>86591</xdr:rowOff>
    </xdr:from>
    <xdr:to>
      <xdr:col>14</xdr:col>
      <xdr:colOff>207819</xdr:colOff>
      <xdr:row>37</xdr:row>
      <xdr:rowOff>155864</xdr:rowOff>
    </xdr:to>
    <xdr:graphicFrame macro="">
      <xdr:nvGraphicFramePr>
        <xdr:cNvPr id="14" name="Chart 13">
          <a:extLst>
            <a:ext uri="{FF2B5EF4-FFF2-40B4-BE49-F238E27FC236}">
              <a16:creationId xmlns:a16="http://schemas.microsoft.com/office/drawing/2014/main" id="{1F1B40AC-3D61-4900-9147-9C8341AF6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85148</xdr:colOff>
      <xdr:row>21</xdr:row>
      <xdr:rowOff>183284</xdr:rowOff>
    </xdr:from>
    <xdr:to>
      <xdr:col>33</xdr:col>
      <xdr:colOff>258330</xdr:colOff>
      <xdr:row>38</xdr:row>
      <xdr:rowOff>131330</xdr:rowOff>
    </xdr:to>
    <xdr:graphicFrame macro="">
      <xdr:nvGraphicFramePr>
        <xdr:cNvPr id="3" name="Chart 2">
          <a:extLst>
            <a:ext uri="{FF2B5EF4-FFF2-40B4-BE49-F238E27FC236}">
              <a16:creationId xmlns:a16="http://schemas.microsoft.com/office/drawing/2014/main" id="{B5709EB1-AC22-45D7-B052-170CDBCAB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324936</xdr:colOff>
      <xdr:row>0</xdr:row>
      <xdr:rowOff>111125</xdr:rowOff>
    </xdr:from>
    <xdr:to>
      <xdr:col>7</xdr:col>
      <xdr:colOff>413217</xdr:colOff>
      <xdr:row>3</xdr:row>
      <xdr:rowOff>130175</xdr:rowOff>
    </xdr:to>
    <xdr:pic>
      <xdr:nvPicPr>
        <xdr:cNvPr id="5" name="Picture 4">
          <a:extLst>
            <a:ext uri="{FF2B5EF4-FFF2-40B4-BE49-F238E27FC236}">
              <a16:creationId xmlns:a16="http://schemas.microsoft.com/office/drawing/2014/main" id="{DAB251D1-588F-48B8-8AB2-561A628F1F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4436" y="111125"/>
          <a:ext cx="691531" cy="59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38883</xdr:colOff>
      <xdr:row>0</xdr:row>
      <xdr:rowOff>95250</xdr:rowOff>
    </xdr:from>
    <xdr:to>
      <xdr:col>2</xdr:col>
      <xdr:colOff>134131</xdr:colOff>
      <xdr:row>3</xdr:row>
      <xdr:rowOff>114300</xdr:rowOff>
    </xdr:to>
    <xdr:pic>
      <xdr:nvPicPr>
        <xdr:cNvPr id="10" name="Picture 9">
          <a:extLst>
            <a:ext uri="{FF2B5EF4-FFF2-40B4-BE49-F238E27FC236}">
              <a16:creationId xmlns:a16="http://schemas.microsoft.com/office/drawing/2014/main" id="{041399F0-B47A-450D-B295-A633A5C8F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2133" y="95250"/>
          <a:ext cx="698498" cy="59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44798</xdr:colOff>
      <xdr:row>0</xdr:row>
      <xdr:rowOff>95250</xdr:rowOff>
    </xdr:from>
    <xdr:to>
      <xdr:col>1</xdr:col>
      <xdr:colOff>140048</xdr:colOff>
      <xdr:row>3</xdr:row>
      <xdr:rowOff>114300</xdr:rowOff>
    </xdr:to>
    <xdr:pic>
      <xdr:nvPicPr>
        <xdr:cNvPr id="16" name="Picture 15">
          <a:extLst>
            <a:ext uri="{FF2B5EF4-FFF2-40B4-BE49-F238E27FC236}">
              <a16:creationId xmlns:a16="http://schemas.microsoft.com/office/drawing/2014/main" id="{AD004B0C-CF7E-46ED-92F4-EE38B3C130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98" y="95250"/>
          <a:ext cx="698500" cy="59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103911</xdr:colOff>
      <xdr:row>21</xdr:row>
      <xdr:rowOff>155865</xdr:rowOff>
    </xdr:from>
    <xdr:to>
      <xdr:col>25</xdr:col>
      <xdr:colOff>259773</xdr:colOff>
      <xdr:row>38</xdr:row>
      <xdr:rowOff>34637</xdr:rowOff>
    </xdr:to>
    <xdr:graphicFrame macro="">
      <xdr:nvGraphicFramePr>
        <xdr:cNvPr id="17" name="Chart 16">
          <a:extLst>
            <a:ext uri="{FF2B5EF4-FFF2-40B4-BE49-F238E27FC236}">
              <a16:creationId xmlns:a16="http://schemas.microsoft.com/office/drawing/2014/main" id="{CB3E26E8-0247-471A-B608-7A6D11ADE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432717</xdr:colOff>
      <xdr:row>5</xdr:row>
      <xdr:rowOff>13048</xdr:rowOff>
    </xdr:from>
    <xdr:to>
      <xdr:col>25</xdr:col>
      <xdr:colOff>328808</xdr:colOff>
      <xdr:row>20</xdr:row>
      <xdr:rowOff>121226</xdr:rowOff>
    </xdr:to>
    <xdr:sp macro="" textlink="">
      <xdr:nvSpPr>
        <xdr:cNvPr id="18" name="Rectangle: Rounded Corners 17">
          <a:extLst>
            <a:ext uri="{FF2B5EF4-FFF2-40B4-BE49-F238E27FC236}">
              <a16:creationId xmlns:a16="http://schemas.microsoft.com/office/drawing/2014/main" id="{7BE68D43-4D15-43EE-8153-FF7294FEFCA4}"/>
            </a:ext>
          </a:extLst>
        </xdr:cNvPr>
        <xdr:cNvSpPr/>
      </xdr:nvSpPr>
      <xdr:spPr>
        <a:xfrm>
          <a:off x="9018265" y="991644"/>
          <a:ext cx="6641879" cy="3043966"/>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25</xdr:col>
      <xdr:colOff>484909</xdr:colOff>
      <xdr:row>5</xdr:row>
      <xdr:rowOff>0</xdr:rowOff>
    </xdr:from>
    <xdr:to>
      <xdr:col>33</xdr:col>
      <xdr:colOff>207818</xdr:colOff>
      <xdr:row>20</xdr:row>
      <xdr:rowOff>155862</xdr:rowOff>
    </xdr:to>
    <xdr:sp macro="" textlink="">
      <xdr:nvSpPr>
        <xdr:cNvPr id="20" name="Rectangle: Rounded Corners 19">
          <a:extLst>
            <a:ext uri="{FF2B5EF4-FFF2-40B4-BE49-F238E27FC236}">
              <a16:creationId xmlns:a16="http://schemas.microsoft.com/office/drawing/2014/main" id="{B5E95A4A-C0A7-4EFC-BE10-7C83EEDFA4ED}"/>
            </a:ext>
          </a:extLst>
        </xdr:cNvPr>
        <xdr:cNvSpPr/>
      </xdr:nvSpPr>
      <xdr:spPr>
        <a:xfrm>
          <a:off x="15816245" y="978596"/>
          <a:ext cx="4628936" cy="309165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415637</xdr:colOff>
      <xdr:row>21</xdr:row>
      <xdr:rowOff>155863</xdr:rowOff>
    </xdr:from>
    <xdr:to>
      <xdr:col>14</xdr:col>
      <xdr:colOff>381000</xdr:colOff>
      <xdr:row>37</xdr:row>
      <xdr:rowOff>173182</xdr:rowOff>
    </xdr:to>
    <xdr:sp macro="" textlink="">
      <xdr:nvSpPr>
        <xdr:cNvPr id="21" name="Rectangle: Rounded Corners 20">
          <a:extLst>
            <a:ext uri="{FF2B5EF4-FFF2-40B4-BE49-F238E27FC236}">
              <a16:creationId xmlns:a16="http://schemas.microsoft.com/office/drawing/2014/main" id="{AABDE5D1-AAFB-49F7-89FE-BE4E16A5C648}"/>
            </a:ext>
          </a:extLst>
        </xdr:cNvPr>
        <xdr:cNvSpPr/>
      </xdr:nvSpPr>
      <xdr:spPr>
        <a:xfrm>
          <a:off x="2234046" y="4156363"/>
          <a:ext cx="6632863" cy="3065319"/>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525318</xdr:colOff>
      <xdr:row>21</xdr:row>
      <xdr:rowOff>148649</xdr:rowOff>
    </xdr:from>
    <xdr:to>
      <xdr:col>25</xdr:col>
      <xdr:colOff>421409</xdr:colOff>
      <xdr:row>38</xdr:row>
      <xdr:rowOff>63501</xdr:rowOff>
    </xdr:to>
    <xdr:sp macro="" textlink="">
      <xdr:nvSpPr>
        <xdr:cNvPr id="22" name="Rectangle: Rounded Corners 21">
          <a:extLst>
            <a:ext uri="{FF2B5EF4-FFF2-40B4-BE49-F238E27FC236}">
              <a16:creationId xmlns:a16="http://schemas.microsoft.com/office/drawing/2014/main" id="{886D3599-AEE1-4093-A662-AD041CDF7279}"/>
            </a:ext>
          </a:extLst>
        </xdr:cNvPr>
        <xdr:cNvSpPr/>
      </xdr:nvSpPr>
      <xdr:spPr>
        <a:xfrm>
          <a:off x="8970818" y="4149149"/>
          <a:ext cx="6531841" cy="3153352"/>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25</xdr:col>
      <xdr:colOff>572943</xdr:colOff>
      <xdr:row>21</xdr:row>
      <xdr:rowOff>165966</xdr:rowOff>
    </xdr:from>
    <xdr:to>
      <xdr:col>33</xdr:col>
      <xdr:colOff>295852</xdr:colOff>
      <xdr:row>38</xdr:row>
      <xdr:rowOff>148647</xdr:rowOff>
    </xdr:to>
    <xdr:sp macro="" textlink="">
      <xdr:nvSpPr>
        <xdr:cNvPr id="23" name="Rectangle: Rounded Corners 22">
          <a:extLst>
            <a:ext uri="{FF2B5EF4-FFF2-40B4-BE49-F238E27FC236}">
              <a16:creationId xmlns:a16="http://schemas.microsoft.com/office/drawing/2014/main" id="{15072911-D3A6-497F-ABD6-9AC4703FE258}"/>
            </a:ext>
          </a:extLst>
        </xdr:cNvPr>
        <xdr:cNvSpPr/>
      </xdr:nvSpPr>
      <xdr:spPr>
        <a:xfrm>
          <a:off x="15654193" y="4166466"/>
          <a:ext cx="4548909" cy="3221181"/>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561061</xdr:colOff>
      <xdr:row>0</xdr:row>
      <xdr:rowOff>26096</xdr:rowOff>
    </xdr:from>
    <xdr:to>
      <xdr:col>13</xdr:col>
      <xdr:colOff>0</xdr:colOff>
      <xdr:row>4</xdr:row>
      <xdr:rowOff>52191</xdr:rowOff>
    </xdr:to>
    <xdr:sp macro="" textlink="">
      <xdr:nvSpPr>
        <xdr:cNvPr id="4" name="Rectangle: Rounded Corners 3">
          <a:extLst>
            <a:ext uri="{FF2B5EF4-FFF2-40B4-BE49-F238E27FC236}">
              <a16:creationId xmlns:a16="http://schemas.microsoft.com/office/drawing/2014/main" id="{FA7B9852-18F4-3C67-95E0-10D7D5334320}"/>
            </a:ext>
          </a:extLst>
        </xdr:cNvPr>
        <xdr:cNvSpPr/>
      </xdr:nvSpPr>
      <xdr:spPr>
        <a:xfrm>
          <a:off x="4853835" y="26096"/>
          <a:ext cx="3118460" cy="808972"/>
        </a:xfrm>
        <a:prstGeom prst="roundRect">
          <a:avLst/>
        </a:prstGeom>
        <a:no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a:t>
          </a:r>
          <a:r>
            <a:rPr lang="en-US" sz="2000" b="1" baseline="0">
              <a:solidFill>
                <a:schemeClr val="dk1"/>
              </a:solidFill>
              <a:effectLst/>
              <a:latin typeface="+mn-lt"/>
              <a:ea typeface="+mn-ea"/>
              <a:cs typeface="+mn-cs"/>
            </a:rPr>
            <a:t> 20980</a:t>
          </a:r>
          <a:br>
            <a:rPr lang="en-US" sz="1800" b="1"/>
          </a:br>
          <a:r>
            <a:rPr lang="en-US" sz="1800" b="1"/>
            <a:t>TOTAL</a:t>
          </a:r>
          <a:r>
            <a:rPr lang="en-US" sz="1800" b="1" baseline="0"/>
            <a:t> SALES</a:t>
          </a:r>
        </a:p>
        <a:p>
          <a:pPr algn="ctr"/>
          <a:endParaRPr lang="en-US" sz="1800" b="1" baseline="0"/>
        </a:p>
        <a:p>
          <a:pPr algn="ctr"/>
          <a:br>
            <a:rPr lang="en-US" sz="1800" b="1" baseline="0"/>
          </a:br>
          <a:endParaRPr lang="en-US" sz="1800" b="1"/>
        </a:p>
      </xdr:txBody>
    </xdr:sp>
    <xdr:clientData/>
  </xdr:twoCellAnchor>
  <xdr:twoCellAnchor editAs="oneCell">
    <xdr:from>
      <xdr:col>0</xdr:col>
      <xdr:colOff>171450</xdr:colOff>
      <xdr:row>19</xdr:row>
      <xdr:rowOff>80721</xdr:rowOff>
    </xdr:from>
    <xdr:to>
      <xdr:col>3</xdr:col>
      <xdr:colOff>159826</xdr:colOff>
      <xdr:row>39</xdr:row>
      <xdr:rowOff>161440</xdr:rowOff>
    </xdr:to>
    <mc:AlternateContent xmlns:mc="http://schemas.openxmlformats.org/markup-compatibility/2006">
      <mc:Choice xmlns:a14="http://schemas.microsoft.com/office/drawing/2010/main" Requires="a14">
        <xdr:graphicFrame macro="">
          <xdr:nvGraphicFramePr>
            <xdr:cNvPr id="11" name="Date">
              <a:extLst>
                <a:ext uri="{FF2B5EF4-FFF2-40B4-BE49-F238E27FC236}">
                  <a16:creationId xmlns:a16="http://schemas.microsoft.com/office/drawing/2014/main" id="{8E690CA6-FF84-2EEA-0422-05DED4F79C9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71450" y="3700221"/>
              <a:ext cx="1798126" cy="3890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114945</xdr:colOff>
      <xdr:row>5</xdr:row>
      <xdr:rowOff>43751</xdr:rowOff>
    </xdr:from>
    <xdr:to>
      <xdr:col>3</xdr:col>
      <xdr:colOff>242160</xdr:colOff>
      <xdr:row>19</xdr:row>
      <xdr:rowOff>1776</xdr:rowOff>
    </xdr:to>
    <mc:AlternateContent xmlns:mc="http://schemas.openxmlformats.org/markup-compatibility/2006">
      <mc:Choice xmlns:a14="http://schemas.microsoft.com/office/drawing/2010/main" Requires="a14">
        <xdr:graphicFrame macro="">
          <xdr:nvGraphicFramePr>
            <xdr:cNvPr id="13" name="Day">
              <a:extLst>
                <a:ext uri="{FF2B5EF4-FFF2-40B4-BE49-F238E27FC236}">
                  <a16:creationId xmlns:a16="http://schemas.microsoft.com/office/drawing/2014/main" id="{52B9349A-B9B7-5E94-67C0-BAC8818C8F1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114945" y="996251"/>
              <a:ext cx="1936965" cy="2625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206375</xdr:colOff>
      <xdr:row>0</xdr:row>
      <xdr:rowOff>31751</xdr:rowOff>
    </xdr:from>
    <xdr:to>
      <xdr:col>18</xdr:col>
      <xdr:colOff>248564</xdr:colOff>
      <xdr:row>4</xdr:row>
      <xdr:rowOff>31751</xdr:rowOff>
    </xdr:to>
    <xdr:sp macro="" textlink="">
      <xdr:nvSpPr>
        <xdr:cNvPr id="15" name="Rectangle: Rounded Corners 14">
          <a:extLst>
            <a:ext uri="{FF2B5EF4-FFF2-40B4-BE49-F238E27FC236}">
              <a16:creationId xmlns:a16="http://schemas.microsoft.com/office/drawing/2014/main" id="{C1C7F446-E31D-47D3-93B1-81E95471F5E6}"/>
            </a:ext>
          </a:extLst>
        </xdr:cNvPr>
        <xdr:cNvSpPr/>
      </xdr:nvSpPr>
      <xdr:spPr>
        <a:xfrm>
          <a:off x="8048625" y="31751"/>
          <a:ext cx="3058439" cy="762000"/>
        </a:xfrm>
        <a:prstGeom prst="roundRect">
          <a:avLst/>
        </a:prstGeom>
        <a:no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60</a:t>
          </a:r>
          <a:br>
            <a:rPr lang="en-US" sz="1800" b="1"/>
          </a:br>
          <a:r>
            <a:rPr lang="en-US" sz="1800" b="1"/>
            <a:t>TOTAL</a:t>
          </a:r>
          <a:r>
            <a:rPr lang="en-US" sz="1800" b="1" baseline="0"/>
            <a:t> TRANSACTION</a:t>
          </a:r>
        </a:p>
        <a:p>
          <a:pPr algn="ctr"/>
          <a:endParaRPr lang="en-US" sz="1800" b="1" baseline="0"/>
        </a:p>
        <a:p>
          <a:pPr algn="ctr"/>
          <a:br>
            <a:rPr lang="en-US" sz="1800" b="1" baseline="0"/>
          </a:br>
          <a:endParaRPr lang="en-US" sz="1800" b="1"/>
        </a:p>
      </xdr:txBody>
    </xdr:sp>
    <xdr:clientData/>
  </xdr:twoCellAnchor>
  <xdr:twoCellAnchor>
    <xdr:from>
      <xdr:col>18</xdr:col>
      <xdr:colOff>396875</xdr:colOff>
      <xdr:row>0</xdr:row>
      <xdr:rowOff>47625</xdr:rowOff>
    </xdr:from>
    <xdr:to>
      <xdr:col>23</xdr:col>
      <xdr:colOff>439064</xdr:colOff>
      <xdr:row>4</xdr:row>
      <xdr:rowOff>47625</xdr:rowOff>
    </xdr:to>
    <xdr:sp macro="" textlink="">
      <xdr:nvSpPr>
        <xdr:cNvPr id="19" name="Rectangle: Rounded Corners 18">
          <a:extLst>
            <a:ext uri="{FF2B5EF4-FFF2-40B4-BE49-F238E27FC236}">
              <a16:creationId xmlns:a16="http://schemas.microsoft.com/office/drawing/2014/main" id="{6DA41086-93C0-4A43-89BA-2D9E67D39745}"/>
            </a:ext>
          </a:extLst>
        </xdr:cNvPr>
        <xdr:cNvSpPr/>
      </xdr:nvSpPr>
      <xdr:spPr>
        <a:xfrm>
          <a:off x="11255375" y="47625"/>
          <a:ext cx="3058439" cy="762000"/>
        </a:xfrm>
        <a:prstGeom prst="roundRect">
          <a:avLst/>
        </a:prstGeom>
        <a:no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a:t>
          </a:r>
          <a:r>
            <a:rPr lang="en-US" sz="2000" b="1" baseline="0">
              <a:solidFill>
                <a:schemeClr val="dk1"/>
              </a:solidFill>
              <a:effectLst/>
              <a:latin typeface="+mn-lt"/>
              <a:ea typeface="+mn-ea"/>
              <a:cs typeface="+mn-cs"/>
            </a:rPr>
            <a:t> </a:t>
          </a:r>
          <a:r>
            <a:rPr lang="en-US" sz="2000" b="1" i="0" u="none" strike="noStrike">
              <a:solidFill>
                <a:schemeClr val="dk1"/>
              </a:solidFill>
              <a:effectLst/>
              <a:latin typeface="+mn-lt"/>
              <a:ea typeface="+mn-ea"/>
              <a:cs typeface="+mn-cs"/>
            </a:rPr>
            <a:t>349.67</a:t>
          </a:r>
          <a:r>
            <a:rPr lang="en-US" sz="2000" b="1"/>
            <a:t> </a:t>
          </a:r>
          <a:br>
            <a:rPr lang="en-US" sz="1800" b="1"/>
          </a:br>
          <a:r>
            <a:rPr lang="en-US" sz="1800" b="1"/>
            <a:t>AVG</a:t>
          </a:r>
          <a:r>
            <a:rPr lang="en-US" sz="1800" b="1" baseline="0"/>
            <a:t> BILL/PERSON</a:t>
          </a:r>
        </a:p>
        <a:p>
          <a:pPr algn="ctr"/>
          <a:endParaRPr lang="en-US" sz="1800" b="1" baseline="0"/>
        </a:p>
        <a:p>
          <a:pPr algn="ctr"/>
          <a:br>
            <a:rPr lang="en-US" sz="1800" b="1" baseline="0"/>
          </a:br>
          <a:endParaRPr lang="en-US" sz="1800" b="1"/>
        </a:p>
      </xdr:txBody>
    </xdr:sp>
    <xdr:clientData/>
  </xdr:twoCellAnchor>
  <xdr:twoCellAnchor>
    <xdr:from>
      <xdr:col>24</xdr:col>
      <xdr:colOff>31750</xdr:colOff>
      <xdr:row>0</xdr:row>
      <xdr:rowOff>47625</xdr:rowOff>
    </xdr:from>
    <xdr:to>
      <xdr:col>29</xdr:col>
      <xdr:colOff>73939</xdr:colOff>
      <xdr:row>4</xdr:row>
      <xdr:rowOff>47625</xdr:rowOff>
    </xdr:to>
    <xdr:sp macro="" textlink="">
      <xdr:nvSpPr>
        <xdr:cNvPr id="25" name="Rectangle: Rounded Corners 24">
          <a:extLst>
            <a:ext uri="{FF2B5EF4-FFF2-40B4-BE49-F238E27FC236}">
              <a16:creationId xmlns:a16="http://schemas.microsoft.com/office/drawing/2014/main" id="{B8B70B08-54C4-430F-B1D0-F9D72DE18CED}"/>
            </a:ext>
          </a:extLst>
        </xdr:cNvPr>
        <xdr:cNvSpPr/>
      </xdr:nvSpPr>
      <xdr:spPr>
        <a:xfrm>
          <a:off x="14509750" y="47625"/>
          <a:ext cx="3058439" cy="762000"/>
        </a:xfrm>
        <a:prstGeom prst="roundRect">
          <a:avLst/>
        </a:prstGeom>
        <a:no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2.23</a:t>
          </a:r>
          <a:r>
            <a:rPr lang="en-US" sz="2000" b="1"/>
            <a:t> </a:t>
          </a:r>
          <a:br>
            <a:rPr lang="en-US" sz="1800" b="1"/>
          </a:br>
          <a:r>
            <a:rPr lang="en-US" sz="1800" b="1"/>
            <a:t>AVG</a:t>
          </a:r>
          <a:r>
            <a:rPr lang="en-US" sz="1800" b="1" baseline="0"/>
            <a:t> ORDER/PERSON</a:t>
          </a:r>
        </a:p>
        <a:p>
          <a:pPr algn="ctr"/>
          <a:endParaRPr lang="en-US" sz="1800" b="1" baseline="0"/>
        </a:p>
        <a:p>
          <a:pPr algn="ctr"/>
          <a:br>
            <a:rPr lang="en-US" sz="1800" b="1" baseline="0"/>
          </a:br>
          <a:endParaRPr lang="en-US" sz="18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3</xdr:row>
      <xdr:rowOff>52387</xdr:rowOff>
    </xdr:from>
    <xdr:to>
      <xdr:col>11</xdr:col>
      <xdr:colOff>47625</xdr:colOff>
      <xdr:row>17</xdr:row>
      <xdr:rowOff>128587</xdr:rowOff>
    </xdr:to>
    <xdr:graphicFrame macro="">
      <xdr:nvGraphicFramePr>
        <xdr:cNvPr id="2" name="Chart 1">
          <a:extLst>
            <a:ext uri="{FF2B5EF4-FFF2-40B4-BE49-F238E27FC236}">
              <a16:creationId xmlns:a16="http://schemas.microsoft.com/office/drawing/2014/main" id="{DC1A1041-930C-2130-683D-383019F05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3</xdr:row>
      <xdr:rowOff>52387</xdr:rowOff>
    </xdr:from>
    <xdr:to>
      <xdr:col>10</xdr:col>
      <xdr:colOff>314325</xdr:colOff>
      <xdr:row>17</xdr:row>
      <xdr:rowOff>128587</xdr:rowOff>
    </xdr:to>
    <xdr:graphicFrame macro="">
      <xdr:nvGraphicFramePr>
        <xdr:cNvPr id="2" name="Chart 1">
          <a:extLst>
            <a:ext uri="{FF2B5EF4-FFF2-40B4-BE49-F238E27FC236}">
              <a16:creationId xmlns:a16="http://schemas.microsoft.com/office/drawing/2014/main" id="{C25255FF-B4F7-A573-8007-16B27F073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4</xdr:row>
      <xdr:rowOff>4762</xdr:rowOff>
    </xdr:from>
    <xdr:to>
      <xdr:col>10</xdr:col>
      <xdr:colOff>314325</xdr:colOff>
      <xdr:row>18</xdr:row>
      <xdr:rowOff>80962</xdr:rowOff>
    </xdr:to>
    <xdr:graphicFrame macro="">
      <xdr:nvGraphicFramePr>
        <xdr:cNvPr id="2" name="Chart 1">
          <a:extLst>
            <a:ext uri="{FF2B5EF4-FFF2-40B4-BE49-F238E27FC236}">
              <a16:creationId xmlns:a16="http://schemas.microsoft.com/office/drawing/2014/main" id="{694F9B56-0050-77EB-BF22-9F50A7A2D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533400</xdr:colOff>
      <xdr:row>6</xdr:row>
      <xdr:rowOff>100012</xdr:rowOff>
    </xdr:from>
    <xdr:to>
      <xdr:col>10</xdr:col>
      <xdr:colOff>228600</xdr:colOff>
      <xdr:row>20</xdr:row>
      <xdr:rowOff>176212</xdr:rowOff>
    </xdr:to>
    <xdr:graphicFrame macro="">
      <xdr:nvGraphicFramePr>
        <xdr:cNvPr id="2" name="Chart 1">
          <a:extLst>
            <a:ext uri="{FF2B5EF4-FFF2-40B4-BE49-F238E27FC236}">
              <a16:creationId xmlns:a16="http://schemas.microsoft.com/office/drawing/2014/main" id="{0FD75895-14C2-B728-0E58-68C22CFC1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619125</xdr:colOff>
      <xdr:row>6</xdr:row>
      <xdr:rowOff>100012</xdr:rowOff>
    </xdr:from>
    <xdr:to>
      <xdr:col>9</xdr:col>
      <xdr:colOff>85725</xdr:colOff>
      <xdr:row>20</xdr:row>
      <xdr:rowOff>176212</xdr:rowOff>
    </xdr:to>
    <xdr:graphicFrame macro="">
      <xdr:nvGraphicFramePr>
        <xdr:cNvPr id="2" name="Chart 1">
          <a:extLst>
            <a:ext uri="{FF2B5EF4-FFF2-40B4-BE49-F238E27FC236}">
              <a16:creationId xmlns:a16="http://schemas.microsoft.com/office/drawing/2014/main" id="{D54DC47D-0CE1-9012-184B-95D659D46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JAISWAL" refreshedDate="46218.534315509256" createdVersion="8" refreshedVersion="8" minRefreshableVersion="3" recordCount="56" xr:uid="{49379EF7-EDAC-4D62-8FE3-C0E9E9B05004}">
  <cacheSource type="worksheet">
    <worksheetSource ref="A1:K57" sheet="cafe_sales"/>
  </cacheSource>
  <cacheFields count="11">
    <cacheField name="Order ID" numFmtId="0">
      <sharedItems/>
    </cacheField>
    <cacheField name="Date" numFmtId="14">
      <sharedItems containsSemiMixedTypes="0" containsNonDate="0" containsDate="1" containsString="0" minDate="2024-01-01T00:00:00" maxDate="2024-01-29T00:00:00" count="28">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sharedItems>
    </cacheField>
    <cacheField name="Day" numFmtId="0">
      <sharedItems count="7">
        <s v="Monday"/>
        <s v="Tuesday"/>
        <s v="Wednesday"/>
        <s v="Thursday"/>
        <s v="Friday"/>
        <s v="Saturday"/>
        <s v="Sunday"/>
      </sharedItems>
    </cacheField>
    <cacheField name="Item" numFmtId="0">
      <sharedItems count="15">
        <s v="Espresso"/>
        <s v="Croissant"/>
        <s v="Cappuccino"/>
        <s v="Sandwich"/>
        <s v="Latte"/>
        <s v="Muffin"/>
        <s v="Mocha"/>
        <s v="Pasta"/>
        <s v="Cold Coffee"/>
        <s v="Brownie"/>
        <s v="Waffle"/>
        <s v="Cheesecake"/>
        <s v="Club Sandwich"/>
        <s v="Americano"/>
        <s v="Pancakes"/>
      </sharedItems>
    </cacheField>
    <cacheField name="Category" numFmtId="0">
      <sharedItems count="2">
        <s v="Coffee"/>
        <s v="Food"/>
      </sharedItems>
    </cacheField>
    <cacheField name="Qty" numFmtId="0">
      <sharedItems containsSemiMixedTypes="0" containsString="0" containsNumber="1" containsInteger="1" minValue="1" maxValue="4"/>
    </cacheField>
    <cacheField name="Price" numFmtId="0">
      <sharedItems containsSemiMixedTypes="0" containsString="0" containsNumber="1" containsInteger="1" minValue="90" maxValue="280"/>
    </cacheField>
    <cacheField name="Total" numFmtId="0">
      <sharedItems containsSemiMixedTypes="0" containsString="0" containsNumber="1" containsInteger="1" minValue="120" maxValue="660"/>
    </cacheField>
    <cacheField name="Payment" numFmtId="0">
      <sharedItems count="3">
        <s v="Cash"/>
        <s v="UPI"/>
        <s v="Card"/>
      </sharedItems>
    </cacheField>
    <cacheField name="Staff" numFmtId="0">
      <sharedItems/>
    </cacheField>
    <cacheField name="Status" numFmtId="0">
      <sharedItems/>
    </cacheField>
  </cacheFields>
  <extLst>
    <ext xmlns:x14="http://schemas.microsoft.com/office/spreadsheetml/2009/9/main" uri="{725AE2AE-9491-48be-B2B4-4EB974FC3084}">
      <x14:pivotCacheDefinition pivotCacheId="14209033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JAISWAL" refreshedDate="46218.572704398146" createdVersion="8" refreshedVersion="8" minRefreshableVersion="3" recordCount="60" xr:uid="{D2A0F2D8-26BB-47E8-96E4-B0C066B1AEDC}">
  <cacheSource type="worksheet">
    <worksheetSource ref="A1:K61" sheet="cafe_sales"/>
  </cacheSource>
  <cacheFields count="11">
    <cacheField name="Order ID" numFmtId="0">
      <sharedItems/>
    </cacheField>
    <cacheField name="Date" numFmtId="14">
      <sharedItems containsSemiMixedTypes="0" containsNonDate="0" containsDate="1" containsString="0" minDate="2024-01-01T00:00:00" maxDate="2024-01-31T00:00:00"/>
    </cacheField>
    <cacheField name="Day" numFmtId="0">
      <sharedItems/>
    </cacheField>
    <cacheField name="Item" numFmtId="0">
      <sharedItems/>
    </cacheField>
    <cacheField name="Category" numFmtId="0">
      <sharedItems/>
    </cacheField>
    <cacheField name="Qty" numFmtId="0">
      <sharedItems containsSemiMixedTypes="0" containsString="0" containsNumber="1" containsInteger="1" minValue="1" maxValue="4"/>
    </cacheField>
    <cacheField name="Price" numFmtId="0">
      <sharedItems containsSemiMixedTypes="0" containsString="0" containsNumber="1" containsInteger="1" minValue="90" maxValue="280"/>
    </cacheField>
    <cacheField name="Total" numFmtId="0">
      <sharedItems containsSemiMixedTypes="0" containsString="0" containsNumber="1" containsInteger="1" minValue="120" maxValue="660"/>
    </cacheField>
    <cacheField name="Payment" numFmtId="0">
      <sharedItems/>
    </cacheField>
    <cacheField name="Staff" numFmtId="0">
      <sharedItems count="3">
        <s v="Rahul"/>
        <s v="Priya"/>
        <s v="Amit"/>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JAISWAL" refreshedDate="46219.810982870367" createdVersion="8" refreshedVersion="8" minRefreshableVersion="3" recordCount="60" xr:uid="{CE98E08B-5A88-4650-A0FC-8180E8A9956C}">
  <cacheSource type="worksheet">
    <worksheetSource ref="A1:N61" sheet="cafe_sales"/>
  </cacheSource>
  <cacheFields count="14">
    <cacheField name="Order ID" numFmtId="0">
      <sharedItems/>
    </cacheField>
    <cacheField name="Date" numFmtId="14">
      <sharedItems containsSemiMixedTypes="0" containsNonDate="0" containsDate="1" containsString="0" minDate="2024-01-01T00:00:00" maxDate="2024-01-31T00:00:00"/>
    </cacheField>
    <cacheField name="Day" numFmtId="0">
      <sharedItems/>
    </cacheField>
    <cacheField name="Item" numFmtId="0">
      <sharedItems/>
    </cacheField>
    <cacheField name="Category" numFmtId="0">
      <sharedItems/>
    </cacheField>
    <cacheField name="Qty" numFmtId="0">
      <sharedItems containsSemiMixedTypes="0" containsString="0" containsNumber="1" containsInteger="1" minValue="1" maxValue="4"/>
    </cacheField>
    <cacheField name="Price" numFmtId="0">
      <sharedItems containsSemiMixedTypes="0" containsString="0" containsNumber="1" containsInteger="1" minValue="90" maxValue="280"/>
    </cacheField>
    <cacheField name="Total" numFmtId="0">
      <sharedItems containsSemiMixedTypes="0" containsString="0" containsNumber="1" containsInteger="1" minValue="120" maxValue="660"/>
    </cacheField>
    <cacheField name="Payment" numFmtId="0">
      <sharedItems count="3">
        <s v="Cash"/>
        <s v="UPI"/>
        <s v="Card"/>
      </sharedItems>
    </cacheField>
    <cacheField name="Staff" numFmtId="0">
      <sharedItems/>
    </cacheField>
    <cacheField name="Status" numFmtId="0">
      <sharedItems count="2">
        <s v="Served"/>
        <s v="Cancelled"/>
      </sharedItems>
    </cacheField>
    <cacheField name="Week -Number" numFmtId="0">
      <sharedItems containsSemiMixedTypes="0" containsString="0" containsNumber="1" containsInteger="1" minValue="1" maxValue="5"/>
    </cacheField>
    <cacheField name="Revenue-Check" numFmtId="0">
      <sharedItems containsSemiMixedTypes="0" containsString="0" containsNumber="1" containsInteger="1" minValue="120" maxValue="660"/>
    </cacheField>
    <cacheField name="Day-type" numFmtId="0">
      <sharedItems count="2">
        <s v="Weekday"/>
        <s v="Weeken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s v="C001"/>
    <x v="0"/>
    <x v="0"/>
    <x v="0"/>
    <x v="0"/>
    <n v="2"/>
    <n v="120"/>
    <n v="240"/>
    <x v="0"/>
    <s v="Rahul"/>
    <s v="Served"/>
  </r>
  <r>
    <s v="C002"/>
    <x v="0"/>
    <x v="0"/>
    <x v="1"/>
    <x v="1"/>
    <n v="1"/>
    <n v="180"/>
    <n v="180"/>
    <x v="1"/>
    <s v="Priya"/>
    <s v="Served"/>
  </r>
  <r>
    <s v="C003"/>
    <x v="1"/>
    <x v="1"/>
    <x v="2"/>
    <x v="0"/>
    <n v="3"/>
    <n v="150"/>
    <n v="450"/>
    <x v="2"/>
    <s v="Amit"/>
    <s v="Served"/>
  </r>
  <r>
    <s v="C004"/>
    <x v="1"/>
    <x v="1"/>
    <x v="3"/>
    <x v="1"/>
    <n v="2"/>
    <n v="220"/>
    <n v="440"/>
    <x v="0"/>
    <s v="Rahul"/>
    <s v="Served"/>
  </r>
  <r>
    <s v="C005"/>
    <x v="2"/>
    <x v="2"/>
    <x v="4"/>
    <x v="0"/>
    <n v="1"/>
    <n v="160"/>
    <n v="160"/>
    <x v="1"/>
    <s v="Priya"/>
    <s v="Cancelled"/>
  </r>
  <r>
    <s v="C006"/>
    <x v="2"/>
    <x v="2"/>
    <x v="5"/>
    <x v="1"/>
    <n v="2"/>
    <n v="90"/>
    <n v="180"/>
    <x v="2"/>
    <s v="Amit"/>
    <s v="Served"/>
  </r>
  <r>
    <s v="C007"/>
    <x v="3"/>
    <x v="3"/>
    <x v="6"/>
    <x v="0"/>
    <n v="2"/>
    <n v="170"/>
    <n v="340"/>
    <x v="0"/>
    <s v="Rahul"/>
    <s v="Served"/>
  </r>
  <r>
    <s v="C008"/>
    <x v="3"/>
    <x v="3"/>
    <x v="7"/>
    <x v="1"/>
    <n v="1"/>
    <n v="280"/>
    <n v="280"/>
    <x v="1"/>
    <s v="Priya"/>
    <s v="Served"/>
  </r>
  <r>
    <s v="C009"/>
    <x v="4"/>
    <x v="4"/>
    <x v="8"/>
    <x v="0"/>
    <n v="3"/>
    <n v="140"/>
    <n v="420"/>
    <x v="2"/>
    <s v="Amit"/>
    <s v="Served"/>
  </r>
  <r>
    <s v="C010"/>
    <x v="4"/>
    <x v="4"/>
    <x v="9"/>
    <x v="1"/>
    <n v="2"/>
    <n v="110"/>
    <n v="220"/>
    <x v="0"/>
    <s v="Rahul"/>
    <s v="Served"/>
  </r>
  <r>
    <s v="C011"/>
    <x v="5"/>
    <x v="5"/>
    <x v="0"/>
    <x v="0"/>
    <n v="4"/>
    <n v="120"/>
    <n v="480"/>
    <x v="1"/>
    <s v="Priya"/>
    <s v="Served"/>
  </r>
  <r>
    <s v="C012"/>
    <x v="5"/>
    <x v="5"/>
    <x v="10"/>
    <x v="1"/>
    <n v="2"/>
    <n v="200"/>
    <n v="400"/>
    <x v="2"/>
    <s v="Amit"/>
    <s v="Served"/>
  </r>
  <r>
    <s v="C013"/>
    <x v="6"/>
    <x v="6"/>
    <x v="2"/>
    <x v="0"/>
    <n v="3"/>
    <n v="150"/>
    <n v="450"/>
    <x v="0"/>
    <s v="Rahul"/>
    <s v="Served"/>
  </r>
  <r>
    <s v="C014"/>
    <x v="6"/>
    <x v="6"/>
    <x v="11"/>
    <x v="1"/>
    <n v="1"/>
    <n v="250"/>
    <n v="250"/>
    <x v="1"/>
    <s v="Priya"/>
    <s v="Served"/>
  </r>
  <r>
    <s v="C015"/>
    <x v="7"/>
    <x v="0"/>
    <x v="4"/>
    <x v="0"/>
    <n v="2"/>
    <n v="160"/>
    <n v="320"/>
    <x v="2"/>
    <s v="Amit"/>
    <s v="Served"/>
  </r>
  <r>
    <s v="C016"/>
    <x v="7"/>
    <x v="0"/>
    <x v="12"/>
    <x v="1"/>
    <n v="1"/>
    <n v="260"/>
    <n v="260"/>
    <x v="0"/>
    <s v="Rahul"/>
    <s v="Served"/>
  </r>
  <r>
    <s v="C017"/>
    <x v="8"/>
    <x v="1"/>
    <x v="13"/>
    <x v="0"/>
    <n v="2"/>
    <n v="130"/>
    <n v="260"/>
    <x v="1"/>
    <s v="Priya"/>
    <s v="Served"/>
  </r>
  <r>
    <s v="C018"/>
    <x v="8"/>
    <x v="1"/>
    <x v="14"/>
    <x v="1"/>
    <n v="3"/>
    <n v="190"/>
    <n v="570"/>
    <x v="2"/>
    <s v="Amit"/>
    <s v="Served"/>
  </r>
  <r>
    <s v="C019"/>
    <x v="9"/>
    <x v="2"/>
    <x v="6"/>
    <x v="0"/>
    <n v="1"/>
    <n v="170"/>
    <n v="170"/>
    <x v="0"/>
    <s v="Rahul"/>
    <s v="Served"/>
  </r>
  <r>
    <s v="C020"/>
    <x v="9"/>
    <x v="2"/>
    <x v="5"/>
    <x v="1"/>
    <n v="4"/>
    <n v="90"/>
    <n v="360"/>
    <x v="1"/>
    <s v="Priya"/>
    <s v="Served"/>
  </r>
  <r>
    <s v="C021"/>
    <x v="10"/>
    <x v="3"/>
    <x v="8"/>
    <x v="0"/>
    <n v="2"/>
    <n v="140"/>
    <n v="280"/>
    <x v="2"/>
    <s v="Amit"/>
    <s v="Served"/>
  </r>
  <r>
    <s v="C022"/>
    <x v="10"/>
    <x v="3"/>
    <x v="9"/>
    <x v="1"/>
    <n v="3"/>
    <n v="110"/>
    <n v="330"/>
    <x v="0"/>
    <s v="Rahul"/>
    <s v="Served"/>
  </r>
  <r>
    <s v="C023"/>
    <x v="11"/>
    <x v="4"/>
    <x v="0"/>
    <x v="0"/>
    <n v="1"/>
    <n v="120"/>
    <n v="120"/>
    <x v="1"/>
    <s v="Priya"/>
    <s v="Served"/>
  </r>
  <r>
    <s v="C024"/>
    <x v="11"/>
    <x v="4"/>
    <x v="7"/>
    <x v="1"/>
    <n v="2"/>
    <n v="280"/>
    <n v="560"/>
    <x v="2"/>
    <s v="Amit"/>
    <s v="Served"/>
  </r>
  <r>
    <s v="C025"/>
    <x v="12"/>
    <x v="5"/>
    <x v="2"/>
    <x v="0"/>
    <n v="4"/>
    <n v="150"/>
    <n v="600"/>
    <x v="0"/>
    <s v="Rahul"/>
    <s v="Served"/>
  </r>
  <r>
    <s v="C026"/>
    <x v="12"/>
    <x v="5"/>
    <x v="10"/>
    <x v="1"/>
    <n v="3"/>
    <n v="200"/>
    <n v="600"/>
    <x v="1"/>
    <s v="Priya"/>
    <s v="Served"/>
  </r>
  <r>
    <s v="C027"/>
    <x v="13"/>
    <x v="6"/>
    <x v="4"/>
    <x v="0"/>
    <n v="2"/>
    <n v="160"/>
    <n v="320"/>
    <x v="2"/>
    <s v="Amit"/>
    <s v="Served"/>
  </r>
  <r>
    <s v="C028"/>
    <x v="13"/>
    <x v="6"/>
    <x v="11"/>
    <x v="1"/>
    <n v="1"/>
    <n v="250"/>
    <n v="250"/>
    <x v="0"/>
    <s v="Rahul"/>
    <s v="Served"/>
  </r>
  <r>
    <s v="C029"/>
    <x v="14"/>
    <x v="0"/>
    <x v="13"/>
    <x v="0"/>
    <n v="3"/>
    <n v="130"/>
    <n v="390"/>
    <x v="1"/>
    <s v="Priya"/>
    <s v="Served"/>
  </r>
  <r>
    <s v="C030"/>
    <x v="14"/>
    <x v="0"/>
    <x v="3"/>
    <x v="1"/>
    <n v="2"/>
    <n v="220"/>
    <n v="440"/>
    <x v="2"/>
    <s v="Amit"/>
    <s v="Served"/>
  </r>
  <r>
    <s v="C031"/>
    <x v="15"/>
    <x v="1"/>
    <x v="6"/>
    <x v="0"/>
    <n v="1"/>
    <n v="170"/>
    <n v="170"/>
    <x v="0"/>
    <s v="Rahul"/>
    <s v="Served"/>
  </r>
  <r>
    <s v="C032"/>
    <x v="15"/>
    <x v="1"/>
    <x v="1"/>
    <x v="1"/>
    <n v="2"/>
    <n v="180"/>
    <n v="360"/>
    <x v="1"/>
    <s v="Priya"/>
    <s v="Served"/>
  </r>
  <r>
    <s v="C033"/>
    <x v="16"/>
    <x v="2"/>
    <x v="8"/>
    <x v="0"/>
    <n v="3"/>
    <n v="140"/>
    <n v="420"/>
    <x v="2"/>
    <s v="Amit"/>
    <s v="Served"/>
  </r>
  <r>
    <s v="C034"/>
    <x v="16"/>
    <x v="2"/>
    <x v="14"/>
    <x v="1"/>
    <n v="1"/>
    <n v="190"/>
    <n v="190"/>
    <x v="0"/>
    <s v="Rahul"/>
    <s v="Served"/>
  </r>
  <r>
    <s v="C035"/>
    <x v="17"/>
    <x v="3"/>
    <x v="0"/>
    <x v="0"/>
    <n v="2"/>
    <n v="120"/>
    <n v="240"/>
    <x v="1"/>
    <s v="Priya"/>
    <s v="Served"/>
  </r>
  <r>
    <s v="C036"/>
    <x v="17"/>
    <x v="3"/>
    <x v="9"/>
    <x v="1"/>
    <n v="4"/>
    <n v="110"/>
    <n v="440"/>
    <x v="2"/>
    <s v="Amit"/>
    <s v="Served"/>
  </r>
  <r>
    <s v="C037"/>
    <x v="18"/>
    <x v="4"/>
    <x v="2"/>
    <x v="0"/>
    <n v="3"/>
    <n v="150"/>
    <n v="450"/>
    <x v="0"/>
    <s v="Rahul"/>
    <s v="Served"/>
  </r>
  <r>
    <s v="C038"/>
    <x v="18"/>
    <x v="4"/>
    <x v="12"/>
    <x v="1"/>
    <n v="2"/>
    <n v="260"/>
    <n v="520"/>
    <x v="1"/>
    <s v="Priya"/>
    <s v="Served"/>
  </r>
  <r>
    <s v="C039"/>
    <x v="19"/>
    <x v="5"/>
    <x v="4"/>
    <x v="0"/>
    <n v="4"/>
    <n v="160"/>
    <n v="640"/>
    <x v="2"/>
    <s v="Amit"/>
    <s v="Served"/>
  </r>
  <r>
    <s v="C040"/>
    <x v="19"/>
    <x v="5"/>
    <x v="5"/>
    <x v="1"/>
    <n v="3"/>
    <n v="90"/>
    <n v="270"/>
    <x v="0"/>
    <s v="Rahul"/>
    <s v="Served"/>
  </r>
  <r>
    <s v="C041"/>
    <x v="20"/>
    <x v="6"/>
    <x v="13"/>
    <x v="0"/>
    <n v="2"/>
    <n v="130"/>
    <n v="260"/>
    <x v="1"/>
    <s v="Priya"/>
    <s v="Served"/>
  </r>
  <r>
    <s v="C042"/>
    <x v="20"/>
    <x v="6"/>
    <x v="7"/>
    <x v="1"/>
    <n v="1"/>
    <n v="280"/>
    <n v="280"/>
    <x v="2"/>
    <s v="Amit"/>
    <s v="Served"/>
  </r>
  <r>
    <s v="C043"/>
    <x v="21"/>
    <x v="0"/>
    <x v="6"/>
    <x v="0"/>
    <n v="3"/>
    <n v="170"/>
    <n v="510"/>
    <x v="0"/>
    <s v="Rahul"/>
    <s v="Served"/>
  </r>
  <r>
    <s v="C044"/>
    <x v="21"/>
    <x v="0"/>
    <x v="10"/>
    <x v="1"/>
    <n v="2"/>
    <n v="200"/>
    <n v="400"/>
    <x v="1"/>
    <s v="Priya"/>
    <s v="Served"/>
  </r>
  <r>
    <s v="C045"/>
    <x v="22"/>
    <x v="1"/>
    <x v="8"/>
    <x v="0"/>
    <n v="1"/>
    <n v="140"/>
    <n v="140"/>
    <x v="2"/>
    <s v="Amit"/>
    <s v="Served"/>
  </r>
  <r>
    <s v="C046"/>
    <x v="22"/>
    <x v="1"/>
    <x v="11"/>
    <x v="1"/>
    <n v="2"/>
    <n v="250"/>
    <n v="500"/>
    <x v="0"/>
    <s v="Rahul"/>
    <s v="Served"/>
  </r>
  <r>
    <s v="C047"/>
    <x v="23"/>
    <x v="2"/>
    <x v="0"/>
    <x v="0"/>
    <n v="4"/>
    <n v="120"/>
    <n v="480"/>
    <x v="1"/>
    <s v="Priya"/>
    <s v="Served"/>
  </r>
  <r>
    <s v="C048"/>
    <x v="23"/>
    <x v="2"/>
    <x v="1"/>
    <x v="1"/>
    <n v="1"/>
    <n v="180"/>
    <n v="180"/>
    <x v="2"/>
    <s v="Amit"/>
    <s v="Served"/>
  </r>
  <r>
    <s v="C049"/>
    <x v="24"/>
    <x v="3"/>
    <x v="2"/>
    <x v="0"/>
    <n v="2"/>
    <n v="150"/>
    <n v="300"/>
    <x v="0"/>
    <s v="Rahul"/>
    <s v="Served"/>
  </r>
  <r>
    <s v="C050"/>
    <x v="24"/>
    <x v="3"/>
    <x v="3"/>
    <x v="1"/>
    <n v="3"/>
    <n v="220"/>
    <n v="660"/>
    <x v="1"/>
    <s v="Priya"/>
    <s v="Served"/>
  </r>
  <r>
    <s v="C051"/>
    <x v="25"/>
    <x v="4"/>
    <x v="4"/>
    <x v="0"/>
    <n v="1"/>
    <n v="160"/>
    <n v="160"/>
    <x v="2"/>
    <s v="Amit"/>
    <s v="Served"/>
  </r>
  <r>
    <s v="C052"/>
    <x v="25"/>
    <x v="4"/>
    <x v="14"/>
    <x v="1"/>
    <n v="2"/>
    <n v="190"/>
    <n v="380"/>
    <x v="0"/>
    <s v="Rahul"/>
    <s v="Served"/>
  </r>
  <r>
    <s v="C053"/>
    <x v="26"/>
    <x v="5"/>
    <x v="13"/>
    <x v="0"/>
    <n v="3"/>
    <n v="130"/>
    <n v="390"/>
    <x v="1"/>
    <s v="Priya"/>
    <s v="Served"/>
  </r>
  <r>
    <s v="C054"/>
    <x v="26"/>
    <x v="5"/>
    <x v="9"/>
    <x v="1"/>
    <n v="4"/>
    <n v="110"/>
    <n v="440"/>
    <x v="2"/>
    <s v="Amit"/>
    <s v="Served"/>
  </r>
  <r>
    <s v="C055"/>
    <x v="27"/>
    <x v="6"/>
    <x v="6"/>
    <x v="0"/>
    <n v="2"/>
    <n v="170"/>
    <n v="340"/>
    <x v="0"/>
    <s v="Rahul"/>
    <s v="Served"/>
  </r>
  <r>
    <s v="C056"/>
    <x v="27"/>
    <x v="6"/>
    <x v="12"/>
    <x v="1"/>
    <n v="1"/>
    <n v="260"/>
    <n v="260"/>
    <x v="1"/>
    <s v="Priya"/>
    <s v="Serv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C001"/>
    <d v="2024-01-01T00:00:00"/>
    <s v="Monday"/>
    <s v="Espresso"/>
    <s v="Coffee"/>
    <n v="2"/>
    <n v="120"/>
    <n v="240"/>
    <s v="Cash"/>
    <x v="0"/>
    <s v="Served"/>
  </r>
  <r>
    <s v="C002"/>
    <d v="2024-01-01T00:00:00"/>
    <s v="Monday"/>
    <s v="Croissant"/>
    <s v="Food"/>
    <n v="1"/>
    <n v="180"/>
    <n v="180"/>
    <s v="UPI"/>
    <x v="1"/>
    <s v="Served"/>
  </r>
  <r>
    <s v="C003"/>
    <d v="2024-01-02T00:00:00"/>
    <s v="Tuesday"/>
    <s v="Cappuccino"/>
    <s v="Coffee"/>
    <n v="3"/>
    <n v="150"/>
    <n v="450"/>
    <s v="Card"/>
    <x v="2"/>
    <s v="Served"/>
  </r>
  <r>
    <s v="C004"/>
    <d v="2024-01-02T00:00:00"/>
    <s v="Tuesday"/>
    <s v="Sandwich"/>
    <s v="Food"/>
    <n v="2"/>
    <n v="220"/>
    <n v="440"/>
    <s v="Cash"/>
    <x v="0"/>
    <s v="Served"/>
  </r>
  <r>
    <s v="C005"/>
    <d v="2024-01-03T00:00:00"/>
    <s v="Wednesday"/>
    <s v="Latte"/>
    <s v="Coffee"/>
    <n v="1"/>
    <n v="160"/>
    <n v="160"/>
    <s v="UPI"/>
    <x v="1"/>
    <s v="Cancelled"/>
  </r>
  <r>
    <s v="C006"/>
    <d v="2024-01-03T00:00:00"/>
    <s v="Wednesday"/>
    <s v="Muffin"/>
    <s v="Food"/>
    <n v="2"/>
    <n v="90"/>
    <n v="180"/>
    <s v="Card"/>
    <x v="2"/>
    <s v="Served"/>
  </r>
  <r>
    <s v="C007"/>
    <d v="2024-01-04T00:00:00"/>
    <s v="Thursday"/>
    <s v="Mocha"/>
    <s v="Coffee"/>
    <n v="2"/>
    <n v="170"/>
    <n v="340"/>
    <s v="Cash"/>
    <x v="0"/>
    <s v="Served"/>
  </r>
  <r>
    <s v="C008"/>
    <d v="2024-01-04T00:00:00"/>
    <s v="Thursday"/>
    <s v="Pasta"/>
    <s v="Food"/>
    <n v="1"/>
    <n v="280"/>
    <n v="280"/>
    <s v="UPI"/>
    <x v="1"/>
    <s v="Served"/>
  </r>
  <r>
    <s v="C009"/>
    <d v="2024-01-05T00:00:00"/>
    <s v="Friday"/>
    <s v="Cold Coffee"/>
    <s v="Coffee"/>
    <n v="3"/>
    <n v="140"/>
    <n v="420"/>
    <s v="Card"/>
    <x v="2"/>
    <s v="Served"/>
  </r>
  <r>
    <s v="C010"/>
    <d v="2024-01-05T00:00:00"/>
    <s v="Friday"/>
    <s v="Brownie"/>
    <s v="Food"/>
    <n v="2"/>
    <n v="110"/>
    <n v="220"/>
    <s v="Cash"/>
    <x v="0"/>
    <s v="Served"/>
  </r>
  <r>
    <s v="C011"/>
    <d v="2024-01-06T00:00:00"/>
    <s v="Saturday"/>
    <s v="Espresso"/>
    <s v="Coffee"/>
    <n v="4"/>
    <n v="120"/>
    <n v="480"/>
    <s v="UPI"/>
    <x v="1"/>
    <s v="Served"/>
  </r>
  <r>
    <s v="C012"/>
    <d v="2024-01-06T00:00:00"/>
    <s v="Saturday"/>
    <s v="Waffle"/>
    <s v="Food"/>
    <n v="2"/>
    <n v="200"/>
    <n v="400"/>
    <s v="Card"/>
    <x v="2"/>
    <s v="Served"/>
  </r>
  <r>
    <s v="C013"/>
    <d v="2024-01-07T00:00:00"/>
    <s v="Sunday"/>
    <s v="Cappuccino"/>
    <s v="Coffee"/>
    <n v="3"/>
    <n v="150"/>
    <n v="450"/>
    <s v="Cash"/>
    <x v="0"/>
    <s v="Served"/>
  </r>
  <r>
    <s v="C014"/>
    <d v="2024-01-07T00:00:00"/>
    <s v="Sunday"/>
    <s v="Cheesecake"/>
    <s v="Food"/>
    <n v="1"/>
    <n v="250"/>
    <n v="250"/>
    <s v="UPI"/>
    <x v="1"/>
    <s v="Served"/>
  </r>
  <r>
    <s v="C015"/>
    <d v="2024-01-08T00:00:00"/>
    <s v="Monday"/>
    <s v="Latte"/>
    <s v="Coffee"/>
    <n v="2"/>
    <n v="160"/>
    <n v="320"/>
    <s v="Card"/>
    <x v="2"/>
    <s v="Served"/>
  </r>
  <r>
    <s v="C016"/>
    <d v="2024-01-08T00:00:00"/>
    <s v="Monday"/>
    <s v="Club Sandwich"/>
    <s v="Food"/>
    <n v="1"/>
    <n v="260"/>
    <n v="260"/>
    <s v="Cash"/>
    <x v="0"/>
    <s v="Served"/>
  </r>
  <r>
    <s v="C017"/>
    <d v="2024-01-09T00:00:00"/>
    <s v="Tuesday"/>
    <s v="Americano"/>
    <s v="Coffee"/>
    <n v="2"/>
    <n v="130"/>
    <n v="260"/>
    <s v="UPI"/>
    <x v="1"/>
    <s v="Served"/>
  </r>
  <r>
    <s v="C018"/>
    <d v="2024-01-09T00:00:00"/>
    <s v="Tuesday"/>
    <s v="Pancakes"/>
    <s v="Food"/>
    <n v="3"/>
    <n v="190"/>
    <n v="570"/>
    <s v="Card"/>
    <x v="2"/>
    <s v="Served"/>
  </r>
  <r>
    <s v="C019"/>
    <d v="2024-01-10T00:00:00"/>
    <s v="Wednesday"/>
    <s v="Mocha"/>
    <s v="Coffee"/>
    <n v="1"/>
    <n v="170"/>
    <n v="170"/>
    <s v="Cash"/>
    <x v="0"/>
    <s v="Served"/>
  </r>
  <r>
    <s v="C020"/>
    <d v="2024-01-10T00:00:00"/>
    <s v="Wednesday"/>
    <s v="Muffin"/>
    <s v="Food"/>
    <n v="4"/>
    <n v="90"/>
    <n v="360"/>
    <s v="UPI"/>
    <x v="1"/>
    <s v="Served"/>
  </r>
  <r>
    <s v="C021"/>
    <d v="2024-01-11T00:00:00"/>
    <s v="Thursday"/>
    <s v="Cold Coffee"/>
    <s v="Coffee"/>
    <n v="2"/>
    <n v="140"/>
    <n v="280"/>
    <s v="Card"/>
    <x v="2"/>
    <s v="Served"/>
  </r>
  <r>
    <s v="C022"/>
    <d v="2024-01-11T00:00:00"/>
    <s v="Thursday"/>
    <s v="Brownie"/>
    <s v="Food"/>
    <n v="3"/>
    <n v="110"/>
    <n v="330"/>
    <s v="Cash"/>
    <x v="0"/>
    <s v="Served"/>
  </r>
  <r>
    <s v="C023"/>
    <d v="2024-01-12T00:00:00"/>
    <s v="Friday"/>
    <s v="Espresso"/>
    <s v="Coffee"/>
    <n v="1"/>
    <n v="120"/>
    <n v="120"/>
    <s v="UPI"/>
    <x v="1"/>
    <s v="Served"/>
  </r>
  <r>
    <s v="C024"/>
    <d v="2024-01-12T00:00:00"/>
    <s v="Friday"/>
    <s v="Pasta"/>
    <s v="Food"/>
    <n v="2"/>
    <n v="280"/>
    <n v="560"/>
    <s v="Card"/>
    <x v="2"/>
    <s v="Served"/>
  </r>
  <r>
    <s v="C025"/>
    <d v="2024-01-13T00:00:00"/>
    <s v="Saturday"/>
    <s v="Cappuccino"/>
    <s v="Coffee"/>
    <n v="4"/>
    <n v="150"/>
    <n v="600"/>
    <s v="Cash"/>
    <x v="0"/>
    <s v="Served"/>
  </r>
  <r>
    <s v="C026"/>
    <d v="2024-01-13T00:00:00"/>
    <s v="Saturday"/>
    <s v="Waffle"/>
    <s v="Food"/>
    <n v="3"/>
    <n v="200"/>
    <n v="600"/>
    <s v="UPI"/>
    <x v="1"/>
    <s v="Served"/>
  </r>
  <r>
    <s v="C027"/>
    <d v="2024-01-14T00:00:00"/>
    <s v="Sunday"/>
    <s v="Latte"/>
    <s v="Coffee"/>
    <n v="2"/>
    <n v="160"/>
    <n v="320"/>
    <s v="Card"/>
    <x v="2"/>
    <s v="Served"/>
  </r>
  <r>
    <s v="C028"/>
    <d v="2024-01-14T00:00:00"/>
    <s v="Sunday"/>
    <s v="Cheesecake"/>
    <s v="Food"/>
    <n v="1"/>
    <n v="250"/>
    <n v="250"/>
    <s v="Cash"/>
    <x v="0"/>
    <s v="Served"/>
  </r>
  <r>
    <s v="C029"/>
    <d v="2024-01-15T00:00:00"/>
    <s v="Monday"/>
    <s v="Americano"/>
    <s v="Coffee"/>
    <n v="3"/>
    <n v="130"/>
    <n v="390"/>
    <s v="UPI"/>
    <x v="1"/>
    <s v="Served"/>
  </r>
  <r>
    <s v="C030"/>
    <d v="2024-01-15T00:00:00"/>
    <s v="Monday"/>
    <s v="Sandwich"/>
    <s v="Food"/>
    <n v="2"/>
    <n v="220"/>
    <n v="440"/>
    <s v="Card"/>
    <x v="2"/>
    <s v="Served"/>
  </r>
  <r>
    <s v="C031"/>
    <d v="2024-01-16T00:00:00"/>
    <s v="Tuesday"/>
    <s v="Mocha"/>
    <s v="Coffee"/>
    <n v="1"/>
    <n v="170"/>
    <n v="170"/>
    <s v="Cash"/>
    <x v="0"/>
    <s v="Served"/>
  </r>
  <r>
    <s v="C032"/>
    <d v="2024-01-16T00:00:00"/>
    <s v="Tuesday"/>
    <s v="Croissant"/>
    <s v="Food"/>
    <n v="2"/>
    <n v="180"/>
    <n v="360"/>
    <s v="UPI"/>
    <x v="1"/>
    <s v="Served"/>
  </r>
  <r>
    <s v="C033"/>
    <d v="2024-01-17T00:00:00"/>
    <s v="Wednesday"/>
    <s v="Cold Coffee"/>
    <s v="Coffee"/>
    <n v="3"/>
    <n v="140"/>
    <n v="420"/>
    <s v="Card"/>
    <x v="2"/>
    <s v="Served"/>
  </r>
  <r>
    <s v="C034"/>
    <d v="2024-01-17T00:00:00"/>
    <s v="Wednesday"/>
    <s v="Pancakes"/>
    <s v="Food"/>
    <n v="1"/>
    <n v="190"/>
    <n v="190"/>
    <s v="Cash"/>
    <x v="0"/>
    <s v="Served"/>
  </r>
  <r>
    <s v="C035"/>
    <d v="2024-01-18T00:00:00"/>
    <s v="Thursday"/>
    <s v="Espresso"/>
    <s v="Coffee"/>
    <n v="2"/>
    <n v="120"/>
    <n v="240"/>
    <s v="UPI"/>
    <x v="1"/>
    <s v="Served"/>
  </r>
  <r>
    <s v="C036"/>
    <d v="2024-01-18T00:00:00"/>
    <s v="Thursday"/>
    <s v="Brownie"/>
    <s v="Food"/>
    <n v="4"/>
    <n v="110"/>
    <n v="440"/>
    <s v="Card"/>
    <x v="2"/>
    <s v="Served"/>
  </r>
  <r>
    <s v="C037"/>
    <d v="2024-01-19T00:00:00"/>
    <s v="Friday"/>
    <s v="Cappuccino"/>
    <s v="Coffee"/>
    <n v="3"/>
    <n v="150"/>
    <n v="450"/>
    <s v="Cash"/>
    <x v="0"/>
    <s v="Served"/>
  </r>
  <r>
    <s v="C038"/>
    <d v="2024-01-19T00:00:00"/>
    <s v="Friday"/>
    <s v="Club Sandwich"/>
    <s v="Food"/>
    <n v="2"/>
    <n v="260"/>
    <n v="520"/>
    <s v="UPI"/>
    <x v="1"/>
    <s v="Served"/>
  </r>
  <r>
    <s v="C039"/>
    <d v="2024-01-20T00:00:00"/>
    <s v="Saturday"/>
    <s v="Latte"/>
    <s v="Coffee"/>
    <n v="4"/>
    <n v="160"/>
    <n v="640"/>
    <s v="Card"/>
    <x v="2"/>
    <s v="Served"/>
  </r>
  <r>
    <s v="C040"/>
    <d v="2024-01-20T00:00:00"/>
    <s v="Saturday"/>
    <s v="Muffin"/>
    <s v="Food"/>
    <n v="3"/>
    <n v="90"/>
    <n v="270"/>
    <s v="Cash"/>
    <x v="0"/>
    <s v="Served"/>
  </r>
  <r>
    <s v="C041"/>
    <d v="2024-01-21T00:00:00"/>
    <s v="Sunday"/>
    <s v="Americano"/>
    <s v="Coffee"/>
    <n v="2"/>
    <n v="130"/>
    <n v="260"/>
    <s v="UPI"/>
    <x v="1"/>
    <s v="Served"/>
  </r>
  <r>
    <s v="C042"/>
    <d v="2024-01-21T00:00:00"/>
    <s v="Sunday"/>
    <s v="Pasta"/>
    <s v="Food"/>
    <n v="1"/>
    <n v="280"/>
    <n v="280"/>
    <s v="Card"/>
    <x v="2"/>
    <s v="Served"/>
  </r>
  <r>
    <s v="C043"/>
    <d v="2024-01-22T00:00:00"/>
    <s v="Monday"/>
    <s v="Mocha"/>
    <s v="Coffee"/>
    <n v="3"/>
    <n v="170"/>
    <n v="510"/>
    <s v="Cash"/>
    <x v="0"/>
    <s v="Served"/>
  </r>
  <r>
    <s v="C044"/>
    <d v="2024-01-22T00:00:00"/>
    <s v="Monday"/>
    <s v="Waffle"/>
    <s v="Food"/>
    <n v="2"/>
    <n v="200"/>
    <n v="400"/>
    <s v="UPI"/>
    <x v="1"/>
    <s v="Served"/>
  </r>
  <r>
    <s v="C045"/>
    <d v="2024-01-23T00:00:00"/>
    <s v="Tuesday"/>
    <s v="Cold Coffee"/>
    <s v="Coffee"/>
    <n v="1"/>
    <n v="140"/>
    <n v="140"/>
    <s v="Card"/>
    <x v="2"/>
    <s v="Served"/>
  </r>
  <r>
    <s v="C046"/>
    <d v="2024-01-23T00:00:00"/>
    <s v="Tuesday"/>
    <s v="Cheesecake"/>
    <s v="Food"/>
    <n v="2"/>
    <n v="250"/>
    <n v="500"/>
    <s v="Cash"/>
    <x v="0"/>
    <s v="Served"/>
  </r>
  <r>
    <s v="C047"/>
    <d v="2024-01-24T00:00:00"/>
    <s v="Wednesday"/>
    <s v="Espresso"/>
    <s v="Coffee"/>
    <n v="4"/>
    <n v="120"/>
    <n v="480"/>
    <s v="UPI"/>
    <x v="1"/>
    <s v="Served"/>
  </r>
  <r>
    <s v="C048"/>
    <d v="2024-01-24T00:00:00"/>
    <s v="Wednesday"/>
    <s v="Croissant"/>
    <s v="Food"/>
    <n v="1"/>
    <n v="180"/>
    <n v="180"/>
    <s v="Card"/>
    <x v="2"/>
    <s v="Served"/>
  </r>
  <r>
    <s v="C049"/>
    <d v="2024-01-25T00:00:00"/>
    <s v="Thursday"/>
    <s v="Cappuccino"/>
    <s v="Coffee"/>
    <n v="2"/>
    <n v="150"/>
    <n v="300"/>
    <s v="Cash"/>
    <x v="0"/>
    <s v="Served"/>
  </r>
  <r>
    <s v="C050"/>
    <d v="2024-01-25T00:00:00"/>
    <s v="Thursday"/>
    <s v="Sandwich"/>
    <s v="Food"/>
    <n v="3"/>
    <n v="220"/>
    <n v="660"/>
    <s v="UPI"/>
    <x v="1"/>
    <s v="Served"/>
  </r>
  <r>
    <s v="C051"/>
    <d v="2024-01-26T00:00:00"/>
    <s v="Friday"/>
    <s v="Latte"/>
    <s v="Coffee"/>
    <n v="1"/>
    <n v="160"/>
    <n v="160"/>
    <s v="Card"/>
    <x v="2"/>
    <s v="Served"/>
  </r>
  <r>
    <s v="C052"/>
    <d v="2024-01-26T00:00:00"/>
    <s v="Friday"/>
    <s v="Pancakes"/>
    <s v="Food"/>
    <n v="2"/>
    <n v="190"/>
    <n v="380"/>
    <s v="Cash"/>
    <x v="0"/>
    <s v="Served"/>
  </r>
  <r>
    <s v="C053"/>
    <d v="2024-01-27T00:00:00"/>
    <s v="Saturday"/>
    <s v="Americano"/>
    <s v="Coffee"/>
    <n v="3"/>
    <n v="130"/>
    <n v="390"/>
    <s v="UPI"/>
    <x v="1"/>
    <s v="Served"/>
  </r>
  <r>
    <s v="C054"/>
    <d v="2024-01-27T00:00:00"/>
    <s v="Saturday"/>
    <s v="Brownie"/>
    <s v="Food"/>
    <n v="4"/>
    <n v="110"/>
    <n v="440"/>
    <s v="Card"/>
    <x v="2"/>
    <s v="Served"/>
  </r>
  <r>
    <s v="C055"/>
    <d v="2024-01-28T00:00:00"/>
    <s v="Sunday"/>
    <s v="Mocha"/>
    <s v="Coffee"/>
    <n v="2"/>
    <n v="170"/>
    <n v="340"/>
    <s v="Cash"/>
    <x v="0"/>
    <s v="Served"/>
  </r>
  <r>
    <s v="C056"/>
    <d v="2024-01-28T00:00:00"/>
    <s v="Sunday"/>
    <s v="Club Sandwich"/>
    <s v="Food"/>
    <n v="1"/>
    <n v="260"/>
    <n v="260"/>
    <s v="UPI"/>
    <x v="1"/>
    <s v="Served"/>
  </r>
  <r>
    <s v="C057"/>
    <d v="2024-01-29T00:00:00"/>
    <s v="Monday"/>
    <s v="Cold Coffee"/>
    <s v="Coffee"/>
    <n v="3"/>
    <n v="140"/>
    <n v="420"/>
    <s v="Card"/>
    <x v="2"/>
    <s v="Served"/>
  </r>
  <r>
    <s v="C058"/>
    <d v="2024-01-29T00:00:00"/>
    <s v="Monday"/>
    <s v="Muffin"/>
    <s v="Food"/>
    <n v="2"/>
    <n v="90"/>
    <n v="180"/>
    <s v="Cash"/>
    <x v="0"/>
    <s v="Served"/>
  </r>
  <r>
    <s v="C059"/>
    <d v="2024-01-30T00:00:00"/>
    <s v="Tuesday"/>
    <s v="Espresso"/>
    <s v="Coffee"/>
    <n v="4"/>
    <n v="120"/>
    <n v="480"/>
    <s v="UPI"/>
    <x v="1"/>
    <s v="Served"/>
  </r>
  <r>
    <s v="C060"/>
    <d v="2024-01-30T00:00:00"/>
    <s v="Tuesday"/>
    <s v="Waffle"/>
    <s v="Food"/>
    <n v="1"/>
    <n v="200"/>
    <n v="200"/>
    <s v="Card"/>
    <x v="2"/>
    <s v="Serv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C001"/>
    <d v="2024-01-01T00:00:00"/>
    <s v="Monday"/>
    <s v="Espresso"/>
    <s v="Coffee"/>
    <n v="2"/>
    <n v="120"/>
    <n v="240"/>
    <x v="0"/>
    <s v="Rahul"/>
    <x v="0"/>
    <n v="1"/>
    <n v="240"/>
    <x v="0"/>
  </r>
  <r>
    <s v="C002"/>
    <d v="2024-01-01T00:00:00"/>
    <s v="Monday"/>
    <s v="Croissant"/>
    <s v="Food"/>
    <n v="1"/>
    <n v="180"/>
    <n v="180"/>
    <x v="1"/>
    <s v="Priya"/>
    <x v="0"/>
    <n v="1"/>
    <n v="180"/>
    <x v="0"/>
  </r>
  <r>
    <s v="C003"/>
    <d v="2024-01-02T00:00:00"/>
    <s v="Tuesday"/>
    <s v="Cappuccino"/>
    <s v="Coffee"/>
    <n v="3"/>
    <n v="150"/>
    <n v="450"/>
    <x v="2"/>
    <s v="Amit"/>
    <x v="0"/>
    <n v="1"/>
    <n v="450"/>
    <x v="0"/>
  </r>
  <r>
    <s v="C004"/>
    <d v="2024-01-02T00:00:00"/>
    <s v="Tuesday"/>
    <s v="Sandwich"/>
    <s v="Food"/>
    <n v="2"/>
    <n v="220"/>
    <n v="440"/>
    <x v="0"/>
    <s v="Rahul"/>
    <x v="0"/>
    <n v="1"/>
    <n v="440"/>
    <x v="0"/>
  </r>
  <r>
    <s v="C005"/>
    <d v="2024-01-03T00:00:00"/>
    <s v="Wednesday"/>
    <s v="Latte"/>
    <s v="Coffee"/>
    <n v="1"/>
    <n v="160"/>
    <n v="160"/>
    <x v="1"/>
    <s v="Priya"/>
    <x v="1"/>
    <n v="1"/>
    <n v="160"/>
    <x v="0"/>
  </r>
  <r>
    <s v="C006"/>
    <d v="2024-01-03T00:00:00"/>
    <s v="Wednesday"/>
    <s v="Muffin"/>
    <s v="Food"/>
    <n v="2"/>
    <n v="90"/>
    <n v="180"/>
    <x v="2"/>
    <s v="Amit"/>
    <x v="0"/>
    <n v="1"/>
    <n v="180"/>
    <x v="0"/>
  </r>
  <r>
    <s v="C007"/>
    <d v="2024-01-04T00:00:00"/>
    <s v="Thursday"/>
    <s v="Mocha"/>
    <s v="Coffee"/>
    <n v="2"/>
    <n v="170"/>
    <n v="340"/>
    <x v="0"/>
    <s v="Rahul"/>
    <x v="0"/>
    <n v="1"/>
    <n v="340"/>
    <x v="0"/>
  </r>
  <r>
    <s v="C008"/>
    <d v="2024-01-04T00:00:00"/>
    <s v="Thursday"/>
    <s v="Pasta"/>
    <s v="Food"/>
    <n v="1"/>
    <n v="280"/>
    <n v="280"/>
    <x v="1"/>
    <s v="Priya"/>
    <x v="0"/>
    <n v="1"/>
    <n v="280"/>
    <x v="0"/>
  </r>
  <r>
    <s v="C009"/>
    <d v="2024-01-05T00:00:00"/>
    <s v="Friday"/>
    <s v="Cold Coffee"/>
    <s v="Coffee"/>
    <n v="3"/>
    <n v="140"/>
    <n v="420"/>
    <x v="2"/>
    <s v="Amit"/>
    <x v="0"/>
    <n v="1"/>
    <n v="420"/>
    <x v="0"/>
  </r>
  <r>
    <s v="C010"/>
    <d v="2024-01-05T00:00:00"/>
    <s v="Friday"/>
    <s v="Brownie"/>
    <s v="Food"/>
    <n v="2"/>
    <n v="110"/>
    <n v="220"/>
    <x v="0"/>
    <s v="Rahul"/>
    <x v="0"/>
    <n v="1"/>
    <n v="220"/>
    <x v="0"/>
  </r>
  <r>
    <s v="C011"/>
    <d v="2024-01-06T00:00:00"/>
    <s v="Saturday"/>
    <s v="Espresso"/>
    <s v="Coffee"/>
    <n v="4"/>
    <n v="120"/>
    <n v="480"/>
    <x v="1"/>
    <s v="Priya"/>
    <x v="0"/>
    <n v="1"/>
    <n v="480"/>
    <x v="1"/>
  </r>
  <r>
    <s v="C012"/>
    <d v="2024-01-06T00:00:00"/>
    <s v="Saturday"/>
    <s v="Waffle"/>
    <s v="Food"/>
    <n v="2"/>
    <n v="200"/>
    <n v="400"/>
    <x v="2"/>
    <s v="Amit"/>
    <x v="0"/>
    <n v="1"/>
    <n v="400"/>
    <x v="1"/>
  </r>
  <r>
    <s v="C013"/>
    <d v="2024-01-07T00:00:00"/>
    <s v="Sunday"/>
    <s v="Cappuccino"/>
    <s v="Coffee"/>
    <n v="3"/>
    <n v="150"/>
    <n v="450"/>
    <x v="0"/>
    <s v="Rahul"/>
    <x v="0"/>
    <n v="2"/>
    <n v="450"/>
    <x v="1"/>
  </r>
  <r>
    <s v="C014"/>
    <d v="2024-01-07T00:00:00"/>
    <s v="Sunday"/>
    <s v="Cheesecake"/>
    <s v="Food"/>
    <n v="1"/>
    <n v="250"/>
    <n v="250"/>
    <x v="1"/>
    <s v="Priya"/>
    <x v="0"/>
    <n v="2"/>
    <n v="250"/>
    <x v="1"/>
  </r>
  <r>
    <s v="C015"/>
    <d v="2024-01-08T00:00:00"/>
    <s v="Monday"/>
    <s v="Latte"/>
    <s v="Coffee"/>
    <n v="2"/>
    <n v="160"/>
    <n v="320"/>
    <x v="2"/>
    <s v="Amit"/>
    <x v="0"/>
    <n v="2"/>
    <n v="320"/>
    <x v="0"/>
  </r>
  <r>
    <s v="C016"/>
    <d v="2024-01-08T00:00:00"/>
    <s v="Monday"/>
    <s v="Club Sandwich"/>
    <s v="Food"/>
    <n v="1"/>
    <n v="260"/>
    <n v="260"/>
    <x v="0"/>
    <s v="Rahul"/>
    <x v="0"/>
    <n v="2"/>
    <n v="260"/>
    <x v="0"/>
  </r>
  <r>
    <s v="C017"/>
    <d v="2024-01-09T00:00:00"/>
    <s v="Tuesday"/>
    <s v="Americano"/>
    <s v="Coffee"/>
    <n v="2"/>
    <n v="130"/>
    <n v="260"/>
    <x v="1"/>
    <s v="Priya"/>
    <x v="0"/>
    <n v="2"/>
    <n v="260"/>
    <x v="0"/>
  </r>
  <r>
    <s v="C018"/>
    <d v="2024-01-09T00:00:00"/>
    <s v="Tuesday"/>
    <s v="Pancakes"/>
    <s v="Food"/>
    <n v="3"/>
    <n v="190"/>
    <n v="570"/>
    <x v="2"/>
    <s v="Amit"/>
    <x v="0"/>
    <n v="2"/>
    <n v="570"/>
    <x v="0"/>
  </r>
  <r>
    <s v="C019"/>
    <d v="2024-01-10T00:00:00"/>
    <s v="Wednesday"/>
    <s v="Mocha"/>
    <s v="Coffee"/>
    <n v="1"/>
    <n v="170"/>
    <n v="170"/>
    <x v="0"/>
    <s v="Rahul"/>
    <x v="0"/>
    <n v="2"/>
    <n v="170"/>
    <x v="0"/>
  </r>
  <r>
    <s v="C020"/>
    <d v="2024-01-10T00:00:00"/>
    <s v="Wednesday"/>
    <s v="Muffin"/>
    <s v="Food"/>
    <n v="4"/>
    <n v="90"/>
    <n v="360"/>
    <x v="1"/>
    <s v="Priya"/>
    <x v="0"/>
    <n v="2"/>
    <n v="360"/>
    <x v="0"/>
  </r>
  <r>
    <s v="C021"/>
    <d v="2024-01-11T00:00:00"/>
    <s v="Thursday"/>
    <s v="Cold Coffee"/>
    <s v="Coffee"/>
    <n v="2"/>
    <n v="140"/>
    <n v="280"/>
    <x v="2"/>
    <s v="Amit"/>
    <x v="0"/>
    <n v="2"/>
    <n v="280"/>
    <x v="0"/>
  </r>
  <r>
    <s v="C022"/>
    <d v="2024-01-11T00:00:00"/>
    <s v="Thursday"/>
    <s v="Brownie"/>
    <s v="Food"/>
    <n v="3"/>
    <n v="110"/>
    <n v="330"/>
    <x v="0"/>
    <s v="Rahul"/>
    <x v="0"/>
    <n v="2"/>
    <n v="330"/>
    <x v="0"/>
  </r>
  <r>
    <s v="C023"/>
    <d v="2024-01-12T00:00:00"/>
    <s v="Friday"/>
    <s v="Espresso"/>
    <s v="Coffee"/>
    <n v="1"/>
    <n v="120"/>
    <n v="120"/>
    <x v="1"/>
    <s v="Priya"/>
    <x v="0"/>
    <n v="2"/>
    <n v="120"/>
    <x v="0"/>
  </r>
  <r>
    <s v="C024"/>
    <d v="2024-01-12T00:00:00"/>
    <s v="Friday"/>
    <s v="Pasta"/>
    <s v="Food"/>
    <n v="2"/>
    <n v="280"/>
    <n v="560"/>
    <x v="2"/>
    <s v="Amit"/>
    <x v="0"/>
    <n v="2"/>
    <n v="560"/>
    <x v="0"/>
  </r>
  <r>
    <s v="C025"/>
    <d v="2024-01-13T00:00:00"/>
    <s v="Saturday"/>
    <s v="Cappuccino"/>
    <s v="Coffee"/>
    <n v="4"/>
    <n v="150"/>
    <n v="600"/>
    <x v="0"/>
    <s v="Rahul"/>
    <x v="0"/>
    <n v="2"/>
    <n v="600"/>
    <x v="1"/>
  </r>
  <r>
    <s v="C026"/>
    <d v="2024-01-13T00:00:00"/>
    <s v="Saturday"/>
    <s v="Waffle"/>
    <s v="Food"/>
    <n v="3"/>
    <n v="200"/>
    <n v="600"/>
    <x v="1"/>
    <s v="Priya"/>
    <x v="0"/>
    <n v="2"/>
    <n v="600"/>
    <x v="1"/>
  </r>
  <r>
    <s v="C027"/>
    <d v="2024-01-14T00:00:00"/>
    <s v="Sunday"/>
    <s v="Latte"/>
    <s v="Coffee"/>
    <n v="2"/>
    <n v="160"/>
    <n v="320"/>
    <x v="2"/>
    <s v="Amit"/>
    <x v="0"/>
    <n v="3"/>
    <n v="320"/>
    <x v="1"/>
  </r>
  <r>
    <s v="C028"/>
    <d v="2024-01-14T00:00:00"/>
    <s v="Sunday"/>
    <s v="Cheesecake"/>
    <s v="Food"/>
    <n v="1"/>
    <n v="250"/>
    <n v="250"/>
    <x v="0"/>
    <s v="Rahul"/>
    <x v="0"/>
    <n v="3"/>
    <n v="250"/>
    <x v="1"/>
  </r>
  <r>
    <s v="C029"/>
    <d v="2024-01-15T00:00:00"/>
    <s v="Monday"/>
    <s v="Americano"/>
    <s v="Coffee"/>
    <n v="3"/>
    <n v="130"/>
    <n v="390"/>
    <x v="1"/>
    <s v="Priya"/>
    <x v="0"/>
    <n v="3"/>
    <n v="390"/>
    <x v="0"/>
  </r>
  <r>
    <s v="C030"/>
    <d v="2024-01-15T00:00:00"/>
    <s v="Monday"/>
    <s v="Sandwich"/>
    <s v="Food"/>
    <n v="2"/>
    <n v="220"/>
    <n v="440"/>
    <x v="2"/>
    <s v="Amit"/>
    <x v="0"/>
    <n v="3"/>
    <n v="440"/>
    <x v="0"/>
  </r>
  <r>
    <s v="C031"/>
    <d v="2024-01-16T00:00:00"/>
    <s v="Tuesday"/>
    <s v="Mocha"/>
    <s v="Coffee"/>
    <n v="1"/>
    <n v="170"/>
    <n v="170"/>
    <x v="0"/>
    <s v="Rahul"/>
    <x v="0"/>
    <n v="3"/>
    <n v="170"/>
    <x v="0"/>
  </r>
  <r>
    <s v="C032"/>
    <d v="2024-01-16T00:00:00"/>
    <s v="Tuesday"/>
    <s v="Croissant"/>
    <s v="Food"/>
    <n v="2"/>
    <n v="180"/>
    <n v="360"/>
    <x v="1"/>
    <s v="Priya"/>
    <x v="0"/>
    <n v="3"/>
    <n v="360"/>
    <x v="0"/>
  </r>
  <r>
    <s v="C033"/>
    <d v="2024-01-17T00:00:00"/>
    <s v="Wednesday"/>
    <s v="Cold Coffee"/>
    <s v="Coffee"/>
    <n v="3"/>
    <n v="140"/>
    <n v="420"/>
    <x v="2"/>
    <s v="Amit"/>
    <x v="0"/>
    <n v="3"/>
    <n v="420"/>
    <x v="0"/>
  </r>
  <r>
    <s v="C034"/>
    <d v="2024-01-17T00:00:00"/>
    <s v="Wednesday"/>
    <s v="Pancakes"/>
    <s v="Food"/>
    <n v="1"/>
    <n v="190"/>
    <n v="190"/>
    <x v="0"/>
    <s v="Rahul"/>
    <x v="0"/>
    <n v="3"/>
    <n v="190"/>
    <x v="0"/>
  </r>
  <r>
    <s v="C035"/>
    <d v="2024-01-18T00:00:00"/>
    <s v="Thursday"/>
    <s v="Espresso"/>
    <s v="Coffee"/>
    <n v="2"/>
    <n v="120"/>
    <n v="240"/>
    <x v="1"/>
    <s v="Priya"/>
    <x v="0"/>
    <n v="3"/>
    <n v="240"/>
    <x v="0"/>
  </r>
  <r>
    <s v="C036"/>
    <d v="2024-01-18T00:00:00"/>
    <s v="Thursday"/>
    <s v="Brownie"/>
    <s v="Food"/>
    <n v="4"/>
    <n v="110"/>
    <n v="440"/>
    <x v="2"/>
    <s v="Amit"/>
    <x v="0"/>
    <n v="3"/>
    <n v="440"/>
    <x v="0"/>
  </r>
  <r>
    <s v="C037"/>
    <d v="2024-01-19T00:00:00"/>
    <s v="Friday"/>
    <s v="Cappuccino"/>
    <s v="Coffee"/>
    <n v="3"/>
    <n v="150"/>
    <n v="450"/>
    <x v="0"/>
    <s v="Rahul"/>
    <x v="0"/>
    <n v="3"/>
    <n v="450"/>
    <x v="0"/>
  </r>
  <r>
    <s v="C038"/>
    <d v="2024-01-19T00:00:00"/>
    <s v="Friday"/>
    <s v="Club Sandwich"/>
    <s v="Food"/>
    <n v="2"/>
    <n v="260"/>
    <n v="520"/>
    <x v="1"/>
    <s v="Priya"/>
    <x v="0"/>
    <n v="3"/>
    <n v="520"/>
    <x v="0"/>
  </r>
  <r>
    <s v="C039"/>
    <d v="2024-01-20T00:00:00"/>
    <s v="Saturday"/>
    <s v="Latte"/>
    <s v="Coffee"/>
    <n v="4"/>
    <n v="160"/>
    <n v="640"/>
    <x v="2"/>
    <s v="Amit"/>
    <x v="0"/>
    <n v="3"/>
    <n v="640"/>
    <x v="1"/>
  </r>
  <r>
    <s v="C040"/>
    <d v="2024-01-20T00:00:00"/>
    <s v="Saturday"/>
    <s v="Muffin"/>
    <s v="Food"/>
    <n v="3"/>
    <n v="90"/>
    <n v="270"/>
    <x v="0"/>
    <s v="Rahul"/>
    <x v="0"/>
    <n v="3"/>
    <n v="270"/>
    <x v="1"/>
  </r>
  <r>
    <s v="C041"/>
    <d v="2024-01-21T00:00:00"/>
    <s v="Sunday"/>
    <s v="Americano"/>
    <s v="Coffee"/>
    <n v="2"/>
    <n v="130"/>
    <n v="260"/>
    <x v="1"/>
    <s v="Priya"/>
    <x v="0"/>
    <n v="4"/>
    <n v="260"/>
    <x v="1"/>
  </r>
  <r>
    <s v="C042"/>
    <d v="2024-01-21T00:00:00"/>
    <s v="Sunday"/>
    <s v="Pasta"/>
    <s v="Food"/>
    <n v="1"/>
    <n v="280"/>
    <n v="280"/>
    <x v="2"/>
    <s v="Amit"/>
    <x v="0"/>
    <n v="4"/>
    <n v="280"/>
    <x v="1"/>
  </r>
  <r>
    <s v="C043"/>
    <d v="2024-01-22T00:00:00"/>
    <s v="Monday"/>
    <s v="Mocha"/>
    <s v="Coffee"/>
    <n v="3"/>
    <n v="170"/>
    <n v="510"/>
    <x v="0"/>
    <s v="Rahul"/>
    <x v="0"/>
    <n v="4"/>
    <n v="510"/>
    <x v="0"/>
  </r>
  <r>
    <s v="C044"/>
    <d v="2024-01-22T00:00:00"/>
    <s v="Monday"/>
    <s v="Waffle"/>
    <s v="Food"/>
    <n v="2"/>
    <n v="200"/>
    <n v="400"/>
    <x v="1"/>
    <s v="Priya"/>
    <x v="0"/>
    <n v="4"/>
    <n v="400"/>
    <x v="0"/>
  </r>
  <r>
    <s v="C045"/>
    <d v="2024-01-23T00:00:00"/>
    <s v="Tuesday"/>
    <s v="Cold Coffee"/>
    <s v="Coffee"/>
    <n v="1"/>
    <n v="140"/>
    <n v="140"/>
    <x v="2"/>
    <s v="Amit"/>
    <x v="0"/>
    <n v="4"/>
    <n v="140"/>
    <x v="0"/>
  </r>
  <r>
    <s v="C046"/>
    <d v="2024-01-23T00:00:00"/>
    <s v="Tuesday"/>
    <s v="Cheesecake"/>
    <s v="Food"/>
    <n v="2"/>
    <n v="250"/>
    <n v="500"/>
    <x v="0"/>
    <s v="Rahul"/>
    <x v="0"/>
    <n v="4"/>
    <n v="500"/>
    <x v="0"/>
  </r>
  <r>
    <s v="C047"/>
    <d v="2024-01-24T00:00:00"/>
    <s v="Wednesday"/>
    <s v="Espresso"/>
    <s v="Coffee"/>
    <n v="4"/>
    <n v="120"/>
    <n v="480"/>
    <x v="1"/>
    <s v="Priya"/>
    <x v="0"/>
    <n v="4"/>
    <n v="480"/>
    <x v="0"/>
  </r>
  <r>
    <s v="C048"/>
    <d v="2024-01-24T00:00:00"/>
    <s v="Wednesday"/>
    <s v="Croissant"/>
    <s v="Food"/>
    <n v="1"/>
    <n v="180"/>
    <n v="180"/>
    <x v="2"/>
    <s v="Amit"/>
    <x v="0"/>
    <n v="4"/>
    <n v="180"/>
    <x v="0"/>
  </r>
  <r>
    <s v="C049"/>
    <d v="2024-01-25T00:00:00"/>
    <s v="Thursday"/>
    <s v="Cappuccino"/>
    <s v="Coffee"/>
    <n v="2"/>
    <n v="150"/>
    <n v="300"/>
    <x v="0"/>
    <s v="Rahul"/>
    <x v="0"/>
    <n v="4"/>
    <n v="300"/>
    <x v="0"/>
  </r>
  <r>
    <s v="C050"/>
    <d v="2024-01-25T00:00:00"/>
    <s v="Thursday"/>
    <s v="Sandwich"/>
    <s v="Food"/>
    <n v="3"/>
    <n v="220"/>
    <n v="660"/>
    <x v="1"/>
    <s v="Priya"/>
    <x v="0"/>
    <n v="4"/>
    <n v="660"/>
    <x v="0"/>
  </r>
  <r>
    <s v="C051"/>
    <d v="2024-01-26T00:00:00"/>
    <s v="Friday"/>
    <s v="Latte"/>
    <s v="Coffee"/>
    <n v="1"/>
    <n v="160"/>
    <n v="160"/>
    <x v="2"/>
    <s v="Amit"/>
    <x v="0"/>
    <n v="4"/>
    <n v="160"/>
    <x v="0"/>
  </r>
  <r>
    <s v="C052"/>
    <d v="2024-01-26T00:00:00"/>
    <s v="Friday"/>
    <s v="Pancakes"/>
    <s v="Food"/>
    <n v="2"/>
    <n v="190"/>
    <n v="380"/>
    <x v="0"/>
    <s v="Rahul"/>
    <x v="0"/>
    <n v="4"/>
    <n v="380"/>
    <x v="0"/>
  </r>
  <r>
    <s v="C053"/>
    <d v="2024-01-27T00:00:00"/>
    <s v="Saturday"/>
    <s v="Americano"/>
    <s v="Coffee"/>
    <n v="3"/>
    <n v="130"/>
    <n v="390"/>
    <x v="1"/>
    <s v="Priya"/>
    <x v="0"/>
    <n v="4"/>
    <n v="390"/>
    <x v="1"/>
  </r>
  <r>
    <s v="C054"/>
    <d v="2024-01-27T00:00:00"/>
    <s v="Saturday"/>
    <s v="Brownie"/>
    <s v="Food"/>
    <n v="4"/>
    <n v="110"/>
    <n v="440"/>
    <x v="2"/>
    <s v="Amit"/>
    <x v="0"/>
    <n v="4"/>
    <n v="440"/>
    <x v="1"/>
  </r>
  <r>
    <s v="C055"/>
    <d v="2024-01-28T00:00:00"/>
    <s v="Sunday"/>
    <s v="Mocha"/>
    <s v="Coffee"/>
    <n v="2"/>
    <n v="170"/>
    <n v="340"/>
    <x v="0"/>
    <s v="Rahul"/>
    <x v="0"/>
    <n v="5"/>
    <n v="340"/>
    <x v="1"/>
  </r>
  <r>
    <s v="C056"/>
    <d v="2024-01-28T00:00:00"/>
    <s v="Sunday"/>
    <s v="Club Sandwich"/>
    <s v="Food"/>
    <n v="1"/>
    <n v="260"/>
    <n v="260"/>
    <x v="1"/>
    <s v="Priya"/>
    <x v="0"/>
    <n v="5"/>
    <n v="260"/>
    <x v="1"/>
  </r>
  <r>
    <s v="C057"/>
    <d v="2024-01-29T00:00:00"/>
    <s v="Monday"/>
    <s v="Cold Coffee"/>
    <s v="Coffee"/>
    <n v="3"/>
    <n v="140"/>
    <n v="420"/>
    <x v="2"/>
    <s v="Amit"/>
    <x v="0"/>
    <n v="5"/>
    <n v="420"/>
    <x v="0"/>
  </r>
  <r>
    <s v="C058"/>
    <d v="2024-01-29T00:00:00"/>
    <s v="Monday"/>
    <s v="Muffin"/>
    <s v="Food"/>
    <n v="2"/>
    <n v="90"/>
    <n v="180"/>
    <x v="0"/>
    <s v="Rahul"/>
    <x v="0"/>
    <n v="5"/>
    <n v="180"/>
    <x v="0"/>
  </r>
  <r>
    <s v="C059"/>
    <d v="2024-01-30T00:00:00"/>
    <s v="Tuesday"/>
    <s v="Espresso"/>
    <s v="Coffee"/>
    <n v="4"/>
    <n v="120"/>
    <n v="480"/>
    <x v="1"/>
    <s v="Priya"/>
    <x v="0"/>
    <n v="5"/>
    <n v="480"/>
    <x v="0"/>
  </r>
  <r>
    <s v="C060"/>
    <d v="2024-01-30T00:00:00"/>
    <s v="Tuesday"/>
    <s v="Waffle"/>
    <s v="Food"/>
    <n v="1"/>
    <n v="200"/>
    <n v="200"/>
    <x v="2"/>
    <s v="Amit"/>
    <x v="0"/>
    <n v="5"/>
    <n v="2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4FFEE4-9D27-4275-998D-93E0D31844BD}"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3:B10" firstHeaderRow="1" firstDataRow="1" firstDataCol="1"/>
  <pivotFields count="11">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8">
        <item x="0"/>
        <item x="1"/>
        <item x="2"/>
        <item x="3"/>
        <item x="4"/>
        <item x="5"/>
        <item x="6"/>
        <item t="default"/>
      </items>
    </pivotField>
    <pivotField showAll="0"/>
    <pivotField showAll="0"/>
    <pivotField showAll="0"/>
    <pivotField showAll="0"/>
    <pivotField dataField="1" showAll="0"/>
    <pivotField showAll="0">
      <items count="4">
        <item x="2"/>
        <item x="0"/>
        <item x="1"/>
        <item t="default"/>
      </items>
    </pivotField>
    <pivotField showAll="0"/>
    <pivotField showAll="0"/>
  </pivotFields>
  <rowFields count="1">
    <field x="2"/>
  </rowFields>
  <rowItems count="7">
    <i>
      <x/>
    </i>
    <i>
      <x v="1"/>
    </i>
    <i>
      <x v="2"/>
    </i>
    <i>
      <x v="3"/>
    </i>
    <i>
      <x v="4"/>
    </i>
    <i>
      <x v="5"/>
    </i>
    <i>
      <x v="6"/>
    </i>
  </rowItems>
  <colItems count="1">
    <i/>
  </colItems>
  <dataFields count="1">
    <dataField name="Sum of Total" fld="7"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F23584-6F1D-4DC6-8F85-15256FF67EB2}"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location ref="A3:B18" firstHeaderRow="1" firstDataRow="1" firstDataCol="1"/>
  <pivotFields count="11">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8">
        <item x="0"/>
        <item x="1"/>
        <item x="2"/>
        <item x="3"/>
        <item x="4"/>
        <item x="5"/>
        <item x="6"/>
        <item t="default"/>
      </items>
    </pivotField>
    <pivotField axis="axisRow" showAll="0">
      <items count="16">
        <item x="13"/>
        <item x="9"/>
        <item x="2"/>
        <item x="11"/>
        <item x="12"/>
        <item x="8"/>
        <item x="1"/>
        <item x="0"/>
        <item x="4"/>
        <item x="6"/>
        <item x="5"/>
        <item x="14"/>
        <item x="7"/>
        <item x="3"/>
        <item x="10"/>
        <item t="default"/>
      </items>
    </pivotField>
    <pivotField showAll="0"/>
    <pivotField dataField="1" showAll="0"/>
    <pivotField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x v="14"/>
    </i>
  </rowItems>
  <colItems count="1">
    <i/>
  </colItems>
  <dataFields count="1">
    <dataField name="Count of Qty" fld="5" subtotal="count" baseField="3" baseItem="0"/>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23" format="21" series="1">
      <pivotArea type="data" outline="0" fieldPosition="0">
        <references count="1">
          <reference field="4294967294" count="1" selected="0">
            <x v="0"/>
          </reference>
        </references>
      </pivotArea>
    </chartFormat>
    <chartFormat chart="23" format="22">
      <pivotArea type="data" outline="0" fieldPosition="0">
        <references count="2">
          <reference field="4294967294" count="1" selected="0">
            <x v="0"/>
          </reference>
          <reference field="3" count="1" selected="0">
            <x v="0"/>
          </reference>
        </references>
      </pivotArea>
    </chartFormat>
    <chartFormat chart="23" format="23">
      <pivotArea type="data" outline="0" fieldPosition="0">
        <references count="2">
          <reference field="4294967294" count="1" selected="0">
            <x v="0"/>
          </reference>
          <reference field="3" count="1" selected="0">
            <x v="1"/>
          </reference>
        </references>
      </pivotArea>
    </chartFormat>
    <chartFormat chart="23" format="24">
      <pivotArea type="data" outline="0" fieldPosition="0">
        <references count="2">
          <reference field="4294967294" count="1" selected="0">
            <x v="0"/>
          </reference>
          <reference field="3" count="1" selected="0">
            <x v="2"/>
          </reference>
        </references>
      </pivotArea>
    </chartFormat>
    <chartFormat chart="23" format="25">
      <pivotArea type="data" outline="0" fieldPosition="0">
        <references count="2">
          <reference field="4294967294" count="1" selected="0">
            <x v="0"/>
          </reference>
          <reference field="3" count="1" selected="0">
            <x v="3"/>
          </reference>
        </references>
      </pivotArea>
    </chartFormat>
    <chartFormat chart="23" format="26">
      <pivotArea type="data" outline="0" fieldPosition="0">
        <references count="2">
          <reference field="4294967294" count="1" selected="0">
            <x v="0"/>
          </reference>
          <reference field="3" count="1" selected="0">
            <x v="4"/>
          </reference>
        </references>
      </pivotArea>
    </chartFormat>
    <chartFormat chart="23" format="27">
      <pivotArea type="data" outline="0" fieldPosition="0">
        <references count="2">
          <reference field="4294967294" count="1" selected="0">
            <x v="0"/>
          </reference>
          <reference field="3" count="1" selected="0">
            <x v="5"/>
          </reference>
        </references>
      </pivotArea>
    </chartFormat>
    <chartFormat chart="23" format="28">
      <pivotArea type="data" outline="0" fieldPosition="0">
        <references count="2">
          <reference field="4294967294" count="1" selected="0">
            <x v="0"/>
          </reference>
          <reference field="3" count="1" selected="0">
            <x v="6"/>
          </reference>
        </references>
      </pivotArea>
    </chartFormat>
    <chartFormat chart="23" format="29">
      <pivotArea type="data" outline="0" fieldPosition="0">
        <references count="2">
          <reference field="4294967294" count="1" selected="0">
            <x v="0"/>
          </reference>
          <reference field="3" count="1" selected="0">
            <x v="7"/>
          </reference>
        </references>
      </pivotArea>
    </chartFormat>
    <chartFormat chart="23" format="30">
      <pivotArea type="data" outline="0" fieldPosition="0">
        <references count="2">
          <reference field="4294967294" count="1" selected="0">
            <x v="0"/>
          </reference>
          <reference field="3" count="1" selected="0">
            <x v="8"/>
          </reference>
        </references>
      </pivotArea>
    </chartFormat>
    <chartFormat chart="23" format="31">
      <pivotArea type="data" outline="0" fieldPosition="0">
        <references count="2">
          <reference field="4294967294" count="1" selected="0">
            <x v="0"/>
          </reference>
          <reference field="3" count="1" selected="0">
            <x v="9"/>
          </reference>
        </references>
      </pivotArea>
    </chartFormat>
    <chartFormat chart="23" format="32">
      <pivotArea type="data" outline="0" fieldPosition="0">
        <references count="2">
          <reference field="4294967294" count="1" selected="0">
            <x v="0"/>
          </reference>
          <reference field="3" count="1" selected="0">
            <x v="10"/>
          </reference>
        </references>
      </pivotArea>
    </chartFormat>
    <chartFormat chart="23" format="33">
      <pivotArea type="data" outline="0" fieldPosition="0">
        <references count="2">
          <reference field="4294967294" count="1" selected="0">
            <x v="0"/>
          </reference>
          <reference field="3" count="1" selected="0">
            <x v="11"/>
          </reference>
        </references>
      </pivotArea>
    </chartFormat>
    <chartFormat chart="23" format="34">
      <pivotArea type="data" outline="0" fieldPosition="0">
        <references count="2">
          <reference field="4294967294" count="1" selected="0">
            <x v="0"/>
          </reference>
          <reference field="3" count="1" selected="0">
            <x v="12"/>
          </reference>
        </references>
      </pivotArea>
    </chartFormat>
    <chartFormat chart="23" format="35">
      <pivotArea type="data" outline="0" fieldPosition="0">
        <references count="2">
          <reference field="4294967294" count="1" selected="0">
            <x v="0"/>
          </reference>
          <reference field="3" count="1" selected="0">
            <x v="13"/>
          </reference>
        </references>
      </pivotArea>
    </chartFormat>
    <chartFormat chart="23" format="36">
      <pivotArea type="data" outline="0" fieldPosition="0">
        <references count="2">
          <reference field="4294967294" count="1" selected="0">
            <x v="0"/>
          </reference>
          <reference field="3" count="1" selected="0">
            <x v="14"/>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 chart="0" format="11">
      <pivotArea type="data" outline="0" fieldPosition="0">
        <references count="2">
          <reference field="4294967294" count="1" selected="0">
            <x v="0"/>
          </reference>
          <reference field="3" count="1" selected="0">
            <x v="10"/>
          </reference>
        </references>
      </pivotArea>
    </chartFormat>
    <chartFormat chart="0" format="12">
      <pivotArea type="data" outline="0" fieldPosition="0">
        <references count="2">
          <reference field="4294967294" count="1" selected="0">
            <x v="0"/>
          </reference>
          <reference field="3" count="1" selected="0">
            <x v="11"/>
          </reference>
        </references>
      </pivotArea>
    </chartFormat>
    <chartFormat chart="0" format="13">
      <pivotArea type="data" outline="0" fieldPosition="0">
        <references count="2">
          <reference field="4294967294" count="1" selected="0">
            <x v="0"/>
          </reference>
          <reference field="3" count="1" selected="0">
            <x v="12"/>
          </reference>
        </references>
      </pivotArea>
    </chartFormat>
    <chartFormat chart="0" format="14">
      <pivotArea type="data" outline="0" fieldPosition="0">
        <references count="2">
          <reference field="4294967294" count="1" selected="0">
            <x v="0"/>
          </reference>
          <reference field="3" count="1" selected="0">
            <x v="13"/>
          </reference>
        </references>
      </pivotArea>
    </chartFormat>
    <chartFormat chart="0" format="15">
      <pivotArea type="data" outline="0" fieldPosition="0">
        <references count="2">
          <reference field="4294967294" count="1" selected="0">
            <x v="0"/>
          </reference>
          <reference field="3"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06C344-30C8-4C4A-8BEE-2EAC9E9D7235}" name="PivotTable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A3:B5" firstHeaderRow="1" firstDataRow="1" firstDataCol="1"/>
  <pivotFields count="11">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8">
        <item x="0"/>
        <item x="1"/>
        <item x="2"/>
        <item x="3"/>
        <item x="4"/>
        <item x="5"/>
        <item x="6"/>
        <item t="default"/>
      </items>
    </pivotField>
    <pivotField showAll="0"/>
    <pivotField axis="axisRow" showAll="0">
      <items count="3">
        <item x="0"/>
        <item x="1"/>
        <item t="default"/>
      </items>
    </pivotField>
    <pivotField showAll="0"/>
    <pivotField showAll="0"/>
    <pivotField dataField="1" showAll="0"/>
    <pivotField showAll="0"/>
    <pivotField showAll="0"/>
    <pivotField showAll="0"/>
  </pivotFields>
  <rowFields count="1">
    <field x="4"/>
  </rowFields>
  <rowItems count="2">
    <i>
      <x/>
    </i>
    <i>
      <x v="1"/>
    </i>
  </rowItems>
  <colItems count="1">
    <i/>
  </colItems>
  <dataFields count="1">
    <dataField name="Sum of Total" fld="7" baseField="0" baseItem="0" numFmtId="164"/>
  </dataFields>
  <chartFormats count="6">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4" count="1" selected="0">
            <x v="0"/>
          </reference>
        </references>
      </pivotArea>
    </chartFormat>
    <chartFormat chart="12"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BE7726-9682-429B-9553-F1493685F64B}"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6" firstHeaderRow="1" firstDataRow="1" firstDataCol="1"/>
  <pivotFields count="11">
    <pivotField showAll="0"/>
    <pivotField numFmtId="14"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s>
  <rowFields count="1">
    <field x="9"/>
  </rowFields>
  <rowItems count="3">
    <i>
      <x/>
    </i>
    <i>
      <x v="1"/>
    </i>
    <i>
      <x v="2"/>
    </i>
  </rowItems>
  <colItems count="1">
    <i/>
  </colItems>
  <dataFields count="1">
    <dataField name="Sum of Total" fld="7" baseField="0" baseItem="0"/>
  </dataFields>
  <chartFormats count="2">
    <chartFormat chart="6"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89969A-8B38-4627-9339-8EB18CA183F0}"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6" firstHeaderRow="1" firstDataRow="1" firstDataCol="1"/>
  <pivotFields count="14">
    <pivotField showAll="0"/>
    <pivotField numFmtId="14" showAll="0"/>
    <pivotField showAll="0"/>
    <pivotField showAll="0"/>
    <pivotField showAll="0"/>
    <pivotField showAll="0"/>
    <pivotField showAll="0"/>
    <pivotField dataField="1" showAll="0"/>
    <pivotField axis="axisRow" showAll="0">
      <items count="4">
        <item x="2"/>
        <item x="0"/>
        <item x="1"/>
        <item t="default"/>
      </items>
    </pivotField>
    <pivotField showAll="0"/>
    <pivotField showAll="0"/>
    <pivotField showAll="0"/>
    <pivotField showAll="0"/>
    <pivotField showAll="0"/>
  </pivotFields>
  <rowFields count="1">
    <field x="8"/>
  </rowFields>
  <rowItems count="3">
    <i>
      <x/>
    </i>
    <i>
      <x v="1"/>
    </i>
    <i>
      <x v="2"/>
    </i>
  </rowItems>
  <colItems count="1">
    <i/>
  </colItems>
  <dataFields count="1">
    <dataField name="Count of Total" fld="7"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8" count="1" selected="0">
            <x v="0"/>
          </reference>
        </references>
      </pivotArea>
    </chartFormat>
    <chartFormat chart="5" format="10">
      <pivotArea type="data" outline="0" fieldPosition="0">
        <references count="2">
          <reference field="4294967294" count="1" selected="0">
            <x v="0"/>
          </reference>
          <reference field="8" count="1" selected="0">
            <x v="1"/>
          </reference>
        </references>
      </pivotArea>
    </chartFormat>
    <chartFormat chart="5"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12167D-6A4C-43A4-8A43-D78D756A303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4">
    <pivotField showAll="0"/>
    <pivotField numFmtId="14" showAll="0"/>
    <pivotField showAll="0"/>
    <pivotField showAll="0"/>
    <pivotField showAll="0"/>
    <pivotField showAll="0"/>
    <pivotField showAll="0"/>
    <pivotField dataField="1" showAll="0"/>
    <pivotField showAll="0"/>
    <pivotField showAll="0"/>
    <pivotField showAll="0">
      <items count="3">
        <item x="1"/>
        <item x="0"/>
        <item t="default"/>
      </items>
    </pivotField>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Sum of Total" fld="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892584FE-96B8-4379-A432-1BF84CE40C06}" sourceName="Date">
  <pivotTables>
    <pivotTable tabId="2" name="PivotTable1"/>
    <pivotTable tabId="4" name="PivotTable2"/>
    <pivotTable tabId="6" name="PivotTable3"/>
  </pivotTables>
  <data>
    <tabular pivotCacheId="1420903375">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DE3719B-9D07-445D-A537-F39B7DB209E5}" sourceName="Day">
  <pivotTables>
    <pivotTable tabId="2" name="PivotTable1"/>
    <pivotTable tabId="4" name="PivotTable2"/>
    <pivotTable tabId="6" name="PivotTable3"/>
  </pivotTables>
  <data>
    <tabular pivotCacheId="1420903375">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B8FF4E87-04B0-439F-940D-ACB9DFB384E2}" cache="Slicer_Date" caption="Date" style="SlicerStyleLight2" rowHeight="257175"/>
  <slicer name="Day" xr10:uid="{BAA61B02-0E73-4090-BE20-93244E8BD116}" cache="Slicer_Day" caption="Day"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37BBC1D-A7F6-483C-A95A-E9F553F910D5}">
  <we:reference id="wa200010215" version="2.0.0.0" store="en-US" storeType="OMEX"/>
  <we:alternateReferences>
    <we:reference id="wa200010215" version="2.0.0.0" store="WA200010215" storeType="OMEX"/>
  </we:alternateReferences>
  <we:properties>
    <we:property name="bps.codex_control.document_id" value="&quot;a52fed87-db1f-49ab-8743-5a74666dbfa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363A-A1B4-4718-A559-EFEB51358720}">
  <sheetPr codeName="Sheet2"/>
  <dimension ref="A3:B10"/>
  <sheetViews>
    <sheetView workbookViewId="0">
      <selection activeCell="G20" sqref="G20"/>
    </sheetView>
  </sheetViews>
  <sheetFormatPr defaultRowHeight="15" x14ac:dyDescent="0.25"/>
  <cols>
    <col min="1" max="1" width="13.42578125" bestFit="1" customWidth="1"/>
    <col min="2" max="2" width="12.140625" bestFit="1" customWidth="1"/>
  </cols>
  <sheetData>
    <row r="3" spans="1:2" x14ac:dyDescent="0.25">
      <c r="A3" s="2" t="s">
        <v>105</v>
      </c>
      <c r="B3" t="s">
        <v>106</v>
      </c>
    </row>
    <row r="4" spans="1:2" x14ac:dyDescent="0.25">
      <c r="A4" s="3" t="s">
        <v>12</v>
      </c>
      <c r="B4" s="4">
        <v>2740</v>
      </c>
    </row>
    <row r="5" spans="1:2" x14ac:dyDescent="0.25">
      <c r="A5" s="3" t="s">
        <v>24</v>
      </c>
      <c r="B5" s="4">
        <v>2890</v>
      </c>
    </row>
    <row r="6" spans="1:2" x14ac:dyDescent="0.25">
      <c r="A6" s="3" t="s">
        <v>31</v>
      </c>
      <c r="B6" s="4">
        <v>2140</v>
      </c>
    </row>
    <row r="7" spans="1:2" x14ac:dyDescent="0.25">
      <c r="A7" s="3" t="s">
        <v>37</v>
      </c>
      <c r="B7" s="4">
        <v>2870</v>
      </c>
    </row>
    <row r="8" spans="1:2" x14ac:dyDescent="0.25">
      <c r="A8" s="3" t="s">
        <v>42</v>
      </c>
      <c r="B8" s="4">
        <v>2830</v>
      </c>
    </row>
    <row r="9" spans="1:2" x14ac:dyDescent="0.25">
      <c r="A9" s="3" t="s">
        <v>47</v>
      </c>
      <c r="B9" s="4">
        <v>3820</v>
      </c>
    </row>
    <row r="10" spans="1:2" x14ac:dyDescent="0.25">
      <c r="A10" s="3" t="s">
        <v>51</v>
      </c>
      <c r="B10" s="4">
        <v>2410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B814-B346-46F9-B60F-606EA637E086}">
  <sheetPr codeName="Sheet3"/>
  <dimension ref="E5:O20"/>
  <sheetViews>
    <sheetView showGridLines="0" tabSelected="1" zoomScale="60" zoomScaleNormal="60" workbookViewId="0">
      <selection activeCell="K46" sqref="K46"/>
    </sheetView>
  </sheetViews>
  <sheetFormatPr defaultRowHeight="15" x14ac:dyDescent="0.25"/>
  <cols>
    <col min="1" max="16384" width="9.140625" style="5"/>
  </cols>
  <sheetData>
    <row r="5" spans="5:5" x14ac:dyDescent="0.25">
      <c r="E5" s="6"/>
    </row>
    <row r="19" spans="9:15" x14ac:dyDescent="0.25">
      <c r="O19" s="7"/>
    </row>
    <row r="20" spans="9:15" x14ac:dyDescent="0.25">
      <c r="I20"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1D2E-B6DB-4C05-AAA4-B018F1715C58}">
  <sheetPr codeName="Sheet4"/>
  <dimension ref="A3:B18"/>
  <sheetViews>
    <sheetView workbookViewId="0">
      <selection activeCell="I20" sqref="I20"/>
    </sheetView>
  </sheetViews>
  <sheetFormatPr defaultRowHeight="15" x14ac:dyDescent="0.25"/>
  <cols>
    <col min="1" max="1" width="14.140625" bestFit="1" customWidth="1"/>
    <col min="2" max="2" width="12.42578125" bestFit="1" customWidth="1"/>
  </cols>
  <sheetData>
    <row r="3" spans="1:2" x14ac:dyDescent="0.25">
      <c r="A3" s="2" t="s">
        <v>105</v>
      </c>
      <c r="B3" t="s">
        <v>107</v>
      </c>
    </row>
    <row r="4" spans="1:2" x14ac:dyDescent="0.25">
      <c r="A4" s="3" t="s">
        <v>58</v>
      </c>
      <c r="B4" s="4">
        <v>4</v>
      </c>
    </row>
    <row r="5" spans="1:2" x14ac:dyDescent="0.25">
      <c r="A5" s="3" t="s">
        <v>45</v>
      </c>
      <c r="B5" s="4">
        <v>4</v>
      </c>
    </row>
    <row r="6" spans="1:2" x14ac:dyDescent="0.25">
      <c r="A6" s="3" t="s">
        <v>25</v>
      </c>
      <c r="B6" s="4">
        <v>5</v>
      </c>
    </row>
    <row r="7" spans="1:2" x14ac:dyDescent="0.25">
      <c r="A7" s="3" t="s">
        <v>53</v>
      </c>
      <c r="B7" s="4">
        <v>3</v>
      </c>
    </row>
    <row r="8" spans="1:2" x14ac:dyDescent="0.25">
      <c r="A8" s="3" t="s">
        <v>56</v>
      </c>
      <c r="B8" s="4">
        <v>3</v>
      </c>
    </row>
    <row r="9" spans="1:2" x14ac:dyDescent="0.25">
      <c r="A9" s="3" t="s">
        <v>43</v>
      </c>
      <c r="B9" s="4">
        <v>4</v>
      </c>
    </row>
    <row r="10" spans="1:2" x14ac:dyDescent="0.25">
      <c r="A10" s="3" t="s">
        <v>19</v>
      </c>
      <c r="B10" s="4">
        <v>3</v>
      </c>
    </row>
    <row r="11" spans="1:2" x14ac:dyDescent="0.25">
      <c r="A11" s="3" t="s">
        <v>13</v>
      </c>
      <c r="B11" s="4">
        <v>5</v>
      </c>
    </row>
    <row r="12" spans="1:2" x14ac:dyDescent="0.25">
      <c r="A12" s="3" t="s">
        <v>32</v>
      </c>
      <c r="B12" s="4">
        <v>5</v>
      </c>
    </row>
    <row r="13" spans="1:2" x14ac:dyDescent="0.25">
      <c r="A13" s="3" t="s">
        <v>38</v>
      </c>
      <c r="B13" s="4">
        <v>5</v>
      </c>
    </row>
    <row r="14" spans="1:2" x14ac:dyDescent="0.25">
      <c r="A14" s="3" t="s">
        <v>35</v>
      </c>
      <c r="B14" s="4">
        <v>3</v>
      </c>
    </row>
    <row r="15" spans="1:2" x14ac:dyDescent="0.25">
      <c r="A15" s="3" t="s">
        <v>60</v>
      </c>
      <c r="B15" s="4">
        <v>3</v>
      </c>
    </row>
    <row r="16" spans="1:2" x14ac:dyDescent="0.25">
      <c r="A16" s="3" t="s">
        <v>40</v>
      </c>
      <c r="B16" s="4">
        <v>3</v>
      </c>
    </row>
    <row r="17" spans="1:2" x14ac:dyDescent="0.25">
      <c r="A17" s="3" t="s">
        <v>29</v>
      </c>
      <c r="B17" s="4">
        <v>3</v>
      </c>
    </row>
    <row r="18" spans="1:2" x14ac:dyDescent="0.25">
      <c r="A18" s="3" t="s">
        <v>49</v>
      </c>
      <c r="B18" s="4">
        <v>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08FA-79EE-4DCD-BE3A-CF0BABBC09D7}">
  <sheetPr codeName="Sheet5"/>
  <dimension ref="A3:B5"/>
  <sheetViews>
    <sheetView workbookViewId="0">
      <selection activeCell="D28" sqref="D28"/>
    </sheetView>
  </sheetViews>
  <sheetFormatPr defaultRowHeight="15" x14ac:dyDescent="0.25"/>
  <cols>
    <col min="1" max="1" width="13.42578125" bestFit="1" customWidth="1"/>
    <col min="2" max="2" width="12.140625" bestFit="1" customWidth="1"/>
  </cols>
  <sheetData>
    <row r="3" spans="1:2" x14ac:dyDescent="0.25">
      <c r="A3" s="2" t="s">
        <v>105</v>
      </c>
      <c r="B3" t="s">
        <v>106</v>
      </c>
    </row>
    <row r="4" spans="1:2" x14ac:dyDescent="0.25">
      <c r="A4" s="3" t="s">
        <v>14</v>
      </c>
      <c r="B4" s="8">
        <v>9500</v>
      </c>
    </row>
    <row r="5" spans="1:2" x14ac:dyDescent="0.25">
      <c r="A5" s="3" t="s">
        <v>20</v>
      </c>
      <c r="B5" s="8">
        <v>10200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829D-77D7-4DCB-9E44-8977BDFC4E43}">
  <sheetPr codeName="Sheet6"/>
  <dimension ref="A3:B6"/>
  <sheetViews>
    <sheetView workbookViewId="0">
      <selection activeCell="L12" sqref="L12"/>
    </sheetView>
  </sheetViews>
  <sheetFormatPr defaultRowHeight="15" x14ac:dyDescent="0.25"/>
  <cols>
    <col min="1" max="1" width="13.42578125" bestFit="1" customWidth="1"/>
    <col min="2" max="2" width="12.140625" bestFit="1" customWidth="1"/>
  </cols>
  <sheetData>
    <row r="3" spans="1:2" x14ac:dyDescent="0.25">
      <c r="A3" s="2" t="s">
        <v>105</v>
      </c>
      <c r="B3" t="s">
        <v>106</v>
      </c>
    </row>
    <row r="4" spans="1:2" x14ac:dyDescent="0.25">
      <c r="A4" s="3" t="s">
        <v>27</v>
      </c>
      <c r="B4" s="4">
        <v>7260</v>
      </c>
    </row>
    <row r="5" spans="1:2" x14ac:dyDescent="0.25">
      <c r="A5" s="3" t="s">
        <v>22</v>
      </c>
      <c r="B5" s="4">
        <v>7130</v>
      </c>
    </row>
    <row r="6" spans="1:2" x14ac:dyDescent="0.25">
      <c r="A6" s="3" t="s">
        <v>16</v>
      </c>
      <c r="B6" s="4">
        <v>6590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2E8D-C22F-46E8-AEB0-7209DF6712E8}">
  <dimension ref="A3:B6"/>
  <sheetViews>
    <sheetView workbookViewId="0">
      <selection activeCell="L14" sqref="L14"/>
    </sheetView>
  </sheetViews>
  <sheetFormatPr defaultRowHeight="15" x14ac:dyDescent="0.25"/>
  <cols>
    <col min="1" max="1" width="13.42578125" bestFit="1" customWidth="1"/>
    <col min="2" max="2" width="13.85546875" bestFit="1" customWidth="1"/>
  </cols>
  <sheetData>
    <row r="3" spans="1:2" x14ac:dyDescent="0.25">
      <c r="A3" s="2" t="s">
        <v>105</v>
      </c>
      <c r="B3" t="s">
        <v>112</v>
      </c>
    </row>
    <row r="4" spans="1:2" x14ac:dyDescent="0.25">
      <c r="A4" s="3" t="s">
        <v>26</v>
      </c>
      <c r="B4" s="4">
        <v>20</v>
      </c>
    </row>
    <row r="5" spans="1:2" x14ac:dyDescent="0.25">
      <c r="A5" s="3" t="s">
        <v>15</v>
      </c>
      <c r="B5" s="4">
        <v>20</v>
      </c>
    </row>
    <row r="6" spans="1:2" x14ac:dyDescent="0.25">
      <c r="A6" s="3" t="s">
        <v>21</v>
      </c>
      <c r="B6" s="4">
        <v>20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826B-E6A6-4D9A-9DB6-A35895A8820D}">
  <dimension ref="A3:B6"/>
  <sheetViews>
    <sheetView workbookViewId="0">
      <selection activeCell="L18" sqref="L18"/>
    </sheetView>
  </sheetViews>
  <sheetFormatPr defaultRowHeight="15" x14ac:dyDescent="0.25"/>
  <cols>
    <col min="1" max="1" width="13.42578125" bestFit="1" customWidth="1"/>
    <col min="2" max="2" width="12.140625" bestFit="1" customWidth="1"/>
    <col min="3" max="3" width="21.7109375" bestFit="1" customWidth="1"/>
  </cols>
  <sheetData>
    <row r="3" spans="1:2" x14ac:dyDescent="0.25">
      <c r="A3" s="2" t="s">
        <v>105</v>
      </c>
      <c r="B3" t="s">
        <v>106</v>
      </c>
    </row>
    <row r="4" spans="1:2" x14ac:dyDescent="0.25">
      <c r="A4" s="3" t="s">
        <v>113</v>
      </c>
      <c r="B4" s="4">
        <v>14750</v>
      </c>
    </row>
    <row r="5" spans="1:2" x14ac:dyDescent="0.25">
      <c r="A5" s="3" t="s">
        <v>114</v>
      </c>
      <c r="B5" s="4">
        <v>6230</v>
      </c>
    </row>
    <row r="6" spans="1:2" x14ac:dyDescent="0.25">
      <c r="A6" s="3" t="s">
        <v>111</v>
      </c>
      <c r="B6" s="4">
        <v>20980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4BF5C-E742-4CB5-BD5A-166160F005E4}">
  <sheetPr codeName="Sheet1"/>
  <dimension ref="A1:P61"/>
  <sheetViews>
    <sheetView topLeftCell="E1" workbookViewId="0">
      <selection activeCell="P7" sqref="P7"/>
    </sheetView>
  </sheetViews>
  <sheetFormatPr defaultRowHeight="15" x14ac:dyDescent="0.25"/>
  <cols>
    <col min="1" max="1" width="10.5703125" bestFit="1" customWidth="1"/>
    <col min="2" max="2" width="10.42578125" bestFit="1" customWidth="1"/>
    <col min="3" max="3" width="11.140625" bestFit="1" customWidth="1"/>
    <col min="4" max="4" width="14.140625" bestFit="1" customWidth="1"/>
    <col min="5" max="5" width="10.85546875" bestFit="1" customWidth="1"/>
    <col min="6" max="6" width="6.140625" bestFit="1" customWidth="1"/>
    <col min="7" max="8" width="7.7109375" bestFit="1" customWidth="1"/>
    <col min="9" max="9" width="10.85546875" bestFit="1" customWidth="1"/>
    <col min="10" max="10" width="7.140625" bestFit="1" customWidth="1"/>
    <col min="11" max="11" width="9.7109375" bestFit="1" customWidth="1"/>
    <col min="12" max="12" width="14.140625" bestFit="1" customWidth="1"/>
    <col min="13" max="13" width="14.42578125" bestFit="1" customWidth="1"/>
    <col min="14" max="14" width="9" bestFit="1" customWidth="1"/>
    <col min="15" max="15" width="11" customWidth="1"/>
    <col min="16" max="16" width="16.28515625" customWidth="1"/>
  </cols>
  <sheetData>
    <row r="1" spans="1:16" x14ac:dyDescent="0.25">
      <c r="A1" t="s">
        <v>0</v>
      </c>
      <c r="B1" t="s">
        <v>1</v>
      </c>
      <c r="C1" t="s">
        <v>2</v>
      </c>
      <c r="D1" t="s">
        <v>3</v>
      </c>
      <c r="E1" t="s">
        <v>4</v>
      </c>
      <c r="F1" t="s">
        <v>5</v>
      </c>
      <c r="G1" t="s">
        <v>6</v>
      </c>
      <c r="H1" t="s">
        <v>7</v>
      </c>
      <c r="I1" t="s">
        <v>8</v>
      </c>
      <c r="J1" t="s">
        <v>9</v>
      </c>
      <c r="K1" t="s">
        <v>10</v>
      </c>
      <c r="L1" t="s">
        <v>108</v>
      </c>
      <c r="M1" t="s">
        <v>109</v>
      </c>
      <c r="N1" t="s">
        <v>110</v>
      </c>
      <c r="O1" t="s">
        <v>115</v>
      </c>
      <c r="P1" t="s">
        <v>116</v>
      </c>
    </row>
    <row r="2" spans="1:16" x14ac:dyDescent="0.25">
      <c r="A2" t="s">
        <v>11</v>
      </c>
      <c r="B2" s="1">
        <v>45292</v>
      </c>
      <c r="C2" t="s">
        <v>12</v>
      </c>
      <c r="D2" t="s">
        <v>13</v>
      </c>
      <c r="E2" t="s">
        <v>14</v>
      </c>
      <c r="F2">
        <v>2</v>
      </c>
      <c r="G2">
        <v>120</v>
      </c>
      <c r="H2">
        <f>G2*F2</f>
        <v>240</v>
      </c>
      <c r="I2" t="s">
        <v>15</v>
      </c>
      <c r="J2" t="s">
        <v>16</v>
      </c>
      <c r="K2" t="s">
        <v>17</v>
      </c>
      <c r="L2">
        <f>WEEKNUM(B2)</f>
        <v>1</v>
      </c>
      <c r="M2">
        <f>F2*G2</f>
        <v>240</v>
      </c>
      <c r="N2" t="str">
        <f>IF(OR(C2="Saturday",C2="Sunday"),"Weekend","Weekday")</f>
        <v>Weekday</v>
      </c>
      <c r="O2">
        <f>SUM(H2:H61)</f>
        <v>20980</v>
      </c>
      <c r="P2">
        <f>COUNT(H2:H61)</f>
        <v>60</v>
      </c>
    </row>
    <row r="3" spans="1:16" x14ac:dyDescent="0.25">
      <c r="A3" t="s">
        <v>18</v>
      </c>
      <c r="B3" s="1">
        <v>45292</v>
      </c>
      <c r="C3" t="s">
        <v>12</v>
      </c>
      <c r="D3" t="s">
        <v>19</v>
      </c>
      <c r="E3" t="s">
        <v>20</v>
      </c>
      <c r="F3">
        <v>1</v>
      </c>
      <c r="G3">
        <v>180</v>
      </c>
      <c r="H3">
        <f>G3*F3</f>
        <v>180</v>
      </c>
      <c r="I3" t="s">
        <v>21</v>
      </c>
      <c r="J3" t="s">
        <v>22</v>
      </c>
      <c r="K3" t="s">
        <v>17</v>
      </c>
      <c r="L3">
        <f t="shared" ref="L3:L61" si="0">WEEKNUM(B3)</f>
        <v>1</v>
      </c>
      <c r="M3">
        <f t="shared" ref="M3:M61" si="1">F3*G3</f>
        <v>180</v>
      </c>
      <c r="N3" t="str">
        <f t="shared" ref="N3:N61" si="2">IF(OR(C3="Saturday",C3="Sunday"),"Weekend","Weekday")</f>
        <v>Weekday</v>
      </c>
    </row>
    <row r="4" spans="1:16" x14ac:dyDescent="0.25">
      <c r="A4" t="s">
        <v>23</v>
      </c>
      <c r="B4" s="1">
        <v>45293</v>
      </c>
      <c r="C4" t="s">
        <v>24</v>
      </c>
      <c r="D4" t="s">
        <v>25</v>
      </c>
      <c r="E4" t="s">
        <v>14</v>
      </c>
      <c r="F4">
        <v>3</v>
      </c>
      <c r="G4">
        <v>150</v>
      </c>
      <c r="H4">
        <v>450</v>
      </c>
      <c r="I4" t="s">
        <v>26</v>
      </c>
      <c r="J4" t="s">
        <v>27</v>
      </c>
      <c r="K4" t="s">
        <v>17</v>
      </c>
      <c r="L4">
        <f t="shared" si="0"/>
        <v>1</v>
      </c>
      <c r="M4">
        <f t="shared" si="1"/>
        <v>450</v>
      </c>
      <c r="N4" t="str">
        <f t="shared" si="2"/>
        <v>Weekday</v>
      </c>
      <c r="O4" t="s">
        <v>117</v>
      </c>
    </row>
    <row r="5" spans="1:16" x14ac:dyDescent="0.25">
      <c r="A5" t="s">
        <v>28</v>
      </c>
      <c r="B5" s="1">
        <v>45293</v>
      </c>
      <c r="C5" t="s">
        <v>24</v>
      </c>
      <c r="D5" t="s">
        <v>29</v>
      </c>
      <c r="E5" t="s">
        <v>20</v>
      </c>
      <c r="F5">
        <v>2</v>
      </c>
      <c r="G5">
        <v>220</v>
      </c>
      <c r="H5">
        <v>440</v>
      </c>
      <c r="I5" t="s">
        <v>15</v>
      </c>
      <c r="J5" t="s">
        <v>16</v>
      </c>
      <c r="K5" t="s">
        <v>17</v>
      </c>
      <c r="L5">
        <f t="shared" si="0"/>
        <v>1</v>
      </c>
      <c r="M5">
        <f t="shared" si="1"/>
        <v>440</v>
      </c>
      <c r="N5" t="str">
        <f t="shared" si="2"/>
        <v>Weekday</v>
      </c>
      <c r="O5" s="9">
        <f>SUMPRODUCT(F2:F61,G2:G61)/COUNTA(A2:A61)</f>
        <v>349.66666666666669</v>
      </c>
    </row>
    <row r="6" spans="1:16" x14ac:dyDescent="0.25">
      <c r="A6" t="s">
        <v>30</v>
      </c>
      <c r="B6" s="1">
        <v>45294</v>
      </c>
      <c r="C6" t="s">
        <v>31</v>
      </c>
      <c r="D6" t="s">
        <v>32</v>
      </c>
      <c r="E6" t="s">
        <v>14</v>
      </c>
      <c r="F6">
        <v>1</v>
      </c>
      <c r="G6">
        <v>160</v>
      </c>
      <c r="H6">
        <v>160</v>
      </c>
      <c r="I6" t="s">
        <v>21</v>
      </c>
      <c r="J6" t="s">
        <v>22</v>
      </c>
      <c r="K6" t="s">
        <v>33</v>
      </c>
      <c r="L6">
        <f t="shared" si="0"/>
        <v>1</v>
      </c>
      <c r="M6">
        <f t="shared" si="1"/>
        <v>160</v>
      </c>
      <c r="N6" t="str">
        <f t="shared" si="2"/>
        <v>Weekday</v>
      </c>
    </row>
    <row r="7" spans="1:16" x14ac:dyDescent="0.25">
      <c r="A7" t="s">
        <v>34</v>
      </c>
      <c r="B7" s="1">
        <v>45294</v>
      </c>
      <c r="C7" t="s">
        <v>31</v>
      </c>
      <c r="D7" t="s">
        <v>35</v>
      </c>
      <c r="E7" t="s">
        <v>20</v>
      </c>
      <c r="F7">
        <v>2</v>
      </c>
      <c r="G7">
        <v>90</v>
      </c>
      <c r="H7">
        <v>180</v>
      </c>
      <c r="I7" t="s">
        <v>26</v>
      </c>
      <c r="J7" t="s">
        <v>27</v>
      </c>
      <c r="K7" t="s">
        <v>17</v>
      </c>
      <c r="L7">
        <f t="shared" si="0"/>
        <v>1</v>
      </c>
      <c r="M7">
        <f t="shared" si="1"/>
        <v>180</v>
      </c>
      <c r="N7" t="str">
        <f t="shared" si="2"/>
        <v>Weekday</v>
      </c>
      <c r="O7" t="s">
        <v>118</v>
      </c>
      <c r="P7" s="9">
        <f>SUM(F2:F61)/COUNTA(A2:A61)</f>
        <v>2.2333333333333334</v>
      </c>
    </row>
    <row r="8" spans="1:16" x14ac:dyDescent="0.25">
      <c r="A8" t="s">
        <v>36</v>
      </c>
      <c r="B8" s="1">
        <v>45295</v>
      </c>
      <c r="C8" t="s">
        <v>37</v>
      </c>
      <c r="D8" t="s">
        <v>38</v>
      </c>
      <c r="E8" t="s">
        <v>14</v>
      </c>
      <c r="F8">
        <v>2</v>
      </c>
      <c r="G8">
        <v>170</v>
      </c>
      <c r="H8">
        <v>340</v>
      </c>
      <c r="I8" t="s">
        <v>15</v>
      </c>
      <c r="J8" t="s">
        <v>16</v>
      </c>
      <c r="K8" t="s">
        <v>17</v>
      </c>
      <c r="L8">
        <f t="shared" si="0"/>
        <v>1</v>
      </c>
      <c r="M8">
        <f t="shared" si="1"/>
        <v>340</v>
      </c>
      <c r="N8" t="str">
        <f t="shared" si="2"/>
        <v>Weekday</v>
      </c>
    </row>
    <row r="9" spans="1:16" x14ac:dyDescent="0.25">
      <c r="A9" t="s">
        <v>39</v>
      </c>
      <c r="B9" s="1">
        <v>45295</v>
      </c>
      <c r="C9" t="s">
        <v>37</v>
      </c>
      <c r="D9" t="s">
        <v>40</v>
      </c>
      <c r="E9" t="s">
        <v>20</v>
      </c>
      <c r="F9">
        <v>1</v>
      </c>
      <c r="G9">
        <v>280</v>
      </c>
      <c r="H9">
        <f>G9*F9</f>
        <v>280</v>
      </c>
      <c r="I9" t="s">
        <v>21</v>
      </c>
      <c r="J9" t="s">
        <v>22</v>
      </c>
      <c r="K9" t="s">
        <v>17</v>
      </c>
      <c r="L9">
        <f t="shared" si="0"/>
        <v>1</v>
      </c>
      <c r="M9">
        <f t="shared" si="1"/>
        <v>280</v>
      </c>
      <c r="N9" t="str">
        <f t="shared" si="2"/>
        <v>Weekday</v>
      </c>
    </row>
    <row r="10" spans="1:16" x14ac:dyDescent="0.25">
      <c r="A10" t="s">
        <v>41</v>
      </c>
      <c r="B10" s="1">
        <v>45296</v>
      </c>
      <c r="C10" t="s">
        <v>42</v>
      </c>
      <c r="D10" t="s">
        <v>43</v>
      </c>
      <c r="E10" t="s">
        <v>14</v>
      </c>
      <c r="F10">
        <v>3</v>
      </c>
      <c r="G10">
        <v>140</v>
      </c>
      <c r="H10">
        <v>420</v>
      </c>
      <c r="I10" t="s">
        <v>26</v>
      </c>
      <c r="J10" t="s">
        <v>27</v>
      </c>
      <c r="K10" t="s">
        <v>17</v>
      </c>
      <c r="L10">
        <f t="shared" si="0"/>
        <v>1</v>
      </c>
      <c r="M10">
        <f t="shared" si="1"/>
        <v>420</v>
      </c>
      <c r="N10" t="str">
        <f t="shared" si="2"/>
        <v>Weekday</v>
      </c>
    </row>
    <row r="11" spans="1:16" x14ac:dyDescent="0.25">
      <c r="A11" t="s">
        <v>44</v>
      </c>
      <c r="B11" s="1">
        <v>45296</v>
      </c>
      <c r="C11" t="s">
        <v>42</v>
      </c>
      <c r="D11" t="s">
        <v>45</v>
      </c>
      <c r="E11" t="s">
        <v>20</v>
      </c>
      <c r="F11">
        <v>2</v>
      </c>
      <c r="G11">
        <v>110</v>
      </c>
      <c r="H11">
        <v>220</v>
      </c>
      <c r="I11" t="s">
        <v>15</v>
      </c>
      <c r="J11" t="s">
        <v>16</v>
      </c>
      <c r="K11" t="s">
        <v>17</v>
      </c>
      <c r="L11">
        <f t="shared" si="0"/>
        <v>1</v>
      </c>
      <c r="M11">
        <f t="shared" si="1"/>
        <v>220</v>
      </c>
      <c r="N11" t="str">
        <f t="shared" si="2"/>
        <v>Weekday</v>
      </c>
    </row>
    <row r="12" spans="1:16" x14ac:dyDescent="0.25">
      <c r="A12" t="s">
        <v>46</v>
      </c>
      <c r="B12" s="1">
        <v>45297</v>
      </c>
      <c r="C12" t="s">
        <v>47</v>
      </c>
      <c r="D12" t="s">
        <v>13</v>
      </c>
      <c r="E12" t="s">
        <v>14</v>
      </c>
      <c r="F12">
        <v>4</v>
      </c>
      <c r="G12">
        <v>120</v>
      </c>
      <c r="H12">
        <v>480</v>
      </c>
      <c r="I12" t="s">
        <v>21</v>
      </c>
      <c r="J12" t="s">
        <v>22</v>
      </c>
      <c r="K12" t="s">
        <v>17</v>
      </c>
      <c r="L12">
        <f t="shared" si="0"/>
        <v>1</v>
      </c>
      <c r="M12">
        <f t="shared" si="1"/>
        <v>480</v>
      </c>
      <c r="N12" t="str">
        <f t="shared" si="2"/>
        <v>Weekend</v>
      </c>
    </row>
    <row r="13" spans="1:16" x14ac:dyDescent="0.25">
      <c r="A13" t="s">
        <v>48</v>
      </c>
      <c r="B13" s="1">
        <v>45297</v>
      </c>
      <c r="C13" t="s">
        <v>47</v>
      </c>
      <c r="D13" t="s">
        <v>49</v>
      </c>
      <c r="E13" t="s">
        <v>20</v>
      </c>
      <c r="F13">
        <v>2</v>
      </c>
      <c r="G13">
        <v>200</v>
      </c>
      <c r="H13">
        <v>400</v>
      </c>
      <c r="I13" t="s">
        <v>26</v>
      </c>
      <c r="J13" t="s">
        <v>27</v>
      </c>
      <c r="K13" t="s">
        <v>17</v>
      </c>
      <c r="L13">
        <f t="shared" si="0"/>
        <v>1</v>
      </c>
      <c r="M13">
        <f t="shared" si="1"/>
        <v>400</v>
      </c>
      <c r="N13" t="str">
        <f t="shared" si="2"/>
        <v>Weekend</v>
      </c>
    </row>
    <row r="14" spans="1:16" x14ac:dyDescent="0.25">
      <c r="A14" t="s">
        <v>50</v>
      </c>
      <c r="B14" s="1">
        <v>45298</v>
      </c>
      <c r="C14" t="s">
        <v>51</v>
      </c>
      <c r="D14" t="s">
        <v>25</v>
      </c>
      <c r="E14" t="s">
        <v>14</v>
      </c>
      <c r="F14">
        <v>3</v>
      </c>
      <c r="G14">
        <v>150</v>
      </c>
      <c r="H14">
        <v>450</v>
      </c>
      <c r="I14" t="s">
        <v>15</v>
      </c>
      <c r="J14" t="s">
        <v>16</v>
      </c>
      <c r="K14" t="s">
        <v>17</v>
      </c>
      <c r="L14">
        <f t="shared" si="0"/>
        <v>2</v>
      </c>
      <c r="M14">
        <f t="shared" si="1"/>
        <v>450</v>
      </c>
      <c r="N14" t="str">
        <f t="shared" si="2"/>
        <v>Weekend</v>
      </c>
    </row>
    <row r="15" spans="1:16" x14ac:dyDescent="0.25">
      <c r="A15" t="s">
        <v>52</v>
      </c>
      <c r="B15" s="1">
        <v>45298</v>
      </c>
      <c r="C15" t="s">
        <v>51</v>
      </c>
      <c r="D15" t="s">
        <v>53</v>
      </c>
      <c r="E15" t="s">
        <v>20</v>
      </c>
      <c r="F15">
        <v>1</v>
      </c>
      <c r="G15">
        <v>250</v>
      </c>
      <c r="H15">
        <f>G15*F15</f>
        <v>250</v>
      </c>
      <c r="I15" t="s">
        <v>21</v>
      </c>
      <c r="J15" t="s">
        <v>22</v>
      </c>
      <c r="K15" t="s">
        <v>17</v>
      </c>
      <c r="L15">
        <f t="shared" si="0"/>
        <v>2</v>
      </c>
      <c r="M15">
        <f t="shared" si="1"/>
        <v>250</v>
      </c>
      <c r="N15" t="str">
        <f t="shared" si="2"/>
        <v>Weekend</v>
      </c>
    </row>
    <row r="16" spans="1:16" x14ac:dyDescent="0.25">
      <c r="A16" t="s">
        <v>54</v>
      </c>
      <c r="B16" s="1">
        <v>45299</v>
      </c>
      <c r="C16" t="s">
        <v>12</v>
      </c>
      <c r="D16" t="s">
        <v>32</v>
      </c>
      <c r="E16" t="s">
        <v>14</v>
      </c>
      <c r="F16">
        <v>2</v>
      </c>
      <c r="G16">
        <v>160</v>
      </c>
      <c r="H16">
        <v>320</v>
      </c>
      <c r="I16" t="s">
        <v>26</v>
      </c>
      <c r="J16" t="s">
        <v>27</v>
      </c>
      <c r="K16" t="s">
        <v>17</v>
      </c>
      <c r="L16">
        <f t="shared" si="0"/>
        <v>2</v>
      </c>
      <c r="M16">
        <f t="shared" si="1"/>
        <v>320</v>
      </c>
      <c r="N16" t="str">
        <f t="shared" si="2"/>
        <v>Weekday</v>
      </c>
    </row>
    <row r="17" spans="1:14" x14ac:dyDescent="0.25">
      <c r="A17" t="s">
        <v>55</v>
      </c>
      <c r="B17" s="1">
        <v>45299</v>
      </c>
      <c r="C17" t="s">
        <v>12</v>
      </c>
      <c r="D17" t="s">
        <v>56</v>
      </c>
      <c r="E17" t="s">
        <v>20</v>
      </c>
      <c r="F17">
        <v>1</v>
      </c>
      <c r="G17">
        <v>260</v>
      </c>
      <c r="H17">
        <v>260</v>
      </c>
      <c r="I17" t="s">
        <v>15</v>
      </c>
      <c r="J17" t="s">
        <v>16</v>
      </c>
      <c r="K17" t="s">
        <v>17</v>
      </c>
      <c r="L17">
        <f t="shared" si="0"/>
        <v>2</v>
      </c>
      <c r="M17">
        <f t="shared" si="1"/>
        <v>260</v>
      </c>
      <c r="N17" t="str">
        <f t="shared" si="2"/>
        <v>Weekday</v>
      </c>
    </row>
    <row r="18" spans="1:14" x14ac:dyDescent="0.25">
      <c r="A18" t="s">
        <v>57</v>
      </c>
      <c r="B18" s="1">
        <v>45300</v>
      </c>
      <c r="C18" t="s">
        <v>24</v>
      </c>
      <c r="D18" t="s">
        <v>58</v>
      </c>
      <c r="E18" t="s">
        <v>14</v>
      </c>
      <c r="F18">
        <v>2</v>
      </c>
      <c r="G18">
        <v>130</v>
      </c>
      <c r="H18">
        <v>260</v>
      </c>
      <c r="I18" t="s">
        <v>21</v>
      </c>
      <c r="J18" t="s">
        <v>22</v>
      </c>
      <c r="K18" t="s">
        <v>17</v>
      </c>
      <c r="L18">
        <f t="shared" si="0"/>
        <v>2</v>
      </c>
      <c r="M18">
        <f t="shared" si="1"/>
        <v>260</v>
      </c>
      <c r="N18" t="str">
        <f t="shared" si="2"/>
        <v>Weekday</v>
      </c>
    </row>
    <row r="19" spans="1:14" x14ac:dyDescent="0.25">
      <c r="A19" t="s">
        <v>59</v>
      </c>
      <c r="B19" s="1">
        <v>45300</v>
      </c>
      <c r="C19" t="s">
        <v>24</v>
      </c>
      <c r="D19" t="s">
        <v>60</v>
      </c>
      <c r="E19" t="s">
        <v>20</v>
      </c>
      <c r="F19">
        <v>3</v>
      </c>
      <c r="G19">
        <v>190</v>
      </c>
      <c r="H19">
        <v>570</v>
      </c>
      <c r="I19" t="s">
        <v>26</v>
      </c>
      <c r="J19" t="s">
        <v>27</v>
      </c>
      <c r="K19" t="s">
        <v>17</v>
      </c>
      <c r="L19">
        <f t="shared" si="0"/>
        <v>2</v>
      </c>
      <c r="M19">
        <f t="shared" si="1"/>
        <v>570</v>
      </c>
      <c r="N19" t="str">
        <f t="shared" si="2"/>
        <v>Weekday</v>
      </c>
    </row>
    <row r="20" spans="1:14" x14ac:dyDescent="0.25">
      <c r="A20" t="s">
        <v>61</v>
      </c>
      <c r="B20" s="1">
        <v>45301</v>
      </c>
      <c r="C20" t="s">
        <v>31</v>
      </c>
      <c r="D20" t="s">
        <v>38</v>
      </c>
      <c r="E20" t="s">
        <v>14</v>
      </c>
      <c r="F20">
        <v>1</v>
      </c>
      <c r="G20">
        <v>170</v>
      </c>
      <c r="H20">
        <v>170</v>
      </c>
      <c r="I20" t="s">
        <v>15</v>
      </c>
      <c r="J20" t="s">
        <v>16</v>
      </c>
      <c r="K20" t="s">
        <v>17</v>
      </c>
      <c r="L20">
        <f t="shared" si="0"/>
        <v>2</v>
      </c>
      <c r="M20">
        <f t="shared" si="1"/>
        <v>170</v>
      </c>
      <c r="N20" t="str">
        <f t="shared" si="2"/>
        <v>Weekday</v>
      </c>
    </row>
    <row r="21" spans="1:14" x14ac:dyDescent="0.25">
      <c r="A21" t="s">
        <v>62</v>
      </c>
      <c r="B21" s="1">
        <v>45301</v>
      </c>
      <c r="C21" t="s">
        <v>31</v>
      </c>
      <c r="D21" t="s">
        <v>35</v>
      </c>
      <c r="E21" t="s">
        <v>20</v>
      </c>
      <c r="F21">
        <v>4</v>
      </c>
      <c r="G21">
        <v>90</v>
      </c>
      <c r="H21">
        <f>G21*F21</f>
        <v>360</v>
      </c>
      <c r="I21" t="s">
        <v>21</v>
      </c>
      <c r="J21" t="s">
        <v>22</v>
      </c>
      <c r="K21" t="s">
        <v>17</v>
      </c>
      <c r="L21">
        <f t="shared" si="0"/>
        <v>2</v>
      </c>
      <c r="M21">
        <f t="shared" si="1"/>
        <v>360</v>
      </c>
      <c r="N21" t="str">
        <f t="shared" si="2"/>
        <v>Weekday</v>
      </c>
    </row>
    <row r="22" spans="1:14" x14ac:dyDescent="0.25">
      <c r="A22" t="s">
        <v>63</v>
      </c>
      <c r="B22" s="1">
        <v>45302</v>
      </c>
      <c r="C22" t="s">
        <v>37</v>
      </c>
      <c r="D22" t="s">
        <v>43</v>
      </c>
      <c r="E22" t="s">
        <v>14</v>
      </c>
      <c r="F22">
        <v>2</v>
      </c>
      <c r="G22">
        <v>140</v>
      </c>
      <c r="H22">
        <v>280</v>
      </c>
      <c r="I22" t="s">
        <v>26</v>
      </c>
      <c r="J22" t="s">
        <v>27</v>
      </c>
      <c r="K22" t="s">
        <v>17</v>
      </c>
      <c r="L22">
        <f t="shared" si="0"/>
        <v>2</v>
      </c>
      <c r="M22">
        <f t="shared" si="1"/>
        <v>280</v>
      </c>
      <c r="N22" t="str">
        <f t="shared" si="2"/>
        <v>Weekday</v>
      </c>
    </row>
    <row r="23" spans="1:14" x14ac:dyDescent="0.25">
      <c r="A23" t="s">
        <v>64</v>
      </c>
      <c r="B23" s="1">
        <v>45302</v>
      </c>
      <c r="C23" t="s">
        <v>37</v>
      </c>
      <c r="D23" t="s">
        <v>45</v>
      </c>
      <c r="E23" t="s">
        <v>20</v>
      </c>
      <c r="F23">
        <v>3</v>
      </c>
      <c r="G23">
        <v>110</v>
      </c>
      <c r="H23">
        <v>330</v>
      </c>
      <c r="I23" t="s">
        <v>15</v>
      </c>
      <c r="J23" t="s">
        <v>16</v>
      </c>
      <c r="K23" t="s">
        <v>17</v>
      </c>
      <c r="L23">
        <f t="shared" si="0"/>
        <v>2</v>
      </c>
      <c r="M23">
        <f t="shared" si="1"/>
        <v>330</v>
      </c>
      <c r="N23" t="str">
        <f t="shared" si="2"/>
        <v>Weekday</v>
      </c>
    </row>
    <row r="24" spans="1:14" x14ac:dyDescent="0.25">
      <c r="A24" t="s">
        <v>65</v>
      </c>
      <c r="B24" s="1">
        <v>45303</v>
      </c>
      <c r="C24" t="s">
        <v>42</v>
      </c>
      <c r="D24" t="s">
        <v>13</v>
      </c>
      <c r="E24" t="s">
        <v>14</v>
      </c>
      <c r="F24">
        <v>1</v>
      </c>
      <c r="G24">
        <v>120</v>
      </c>
      <c r="H24">
        <v>120</v>
      </c>
      <c r="I24" t="s">
        <v>21</v>
      </c>
      <c r="J24" t="s">
        <v>22</v>
      </c>
      <c r="K24" t="s">
        <v>17</v>
      </c>
      <c r="L24">
        <f t="shared" si="0"/>
        <v>2</v>
      </c>
      <c r="M24">
        <f t="shared" si="1"/>
        <v>120</v>
      </c>
      <c r="N24" t="str">
        <f t="shared" si="2"/>
        <v>Weekday</v>
      </c>
    </row>
    <row r="25" spans="1:14" x14ac:dyDescent="0.25">
      <c r="A25" t="s">
        <v>66</v>
      </c>
      <c r="B25" s="1">
        <v>45303</v>
      </c>
      <c r="C25" t="s">
        <v>42</v>
      </c>
      <c r="D25" t="s">
        <v>40</v>
      </c>
      <c r="E25" t="s">
        <v>20</v>
      </c>
      <c r="F25">
        <v>2</v>
      </c>
      <c r="G25">
        <v>280</v>
      </c>
      <c r="H25">
        <v>560</v>
      </c>
      <c r="I25" t="s">
        <v>26</v>
      </c>
      <c r="J25" t="s">
        <v>27</v>
      </c>
      <c r="K25" t="s">
        <v>17</v>
      </c>
      <c r="L25">
        <f t="shared" si="0"/>
        <v>2</v>
      </c>
      <c r="M25">
        <f t="shared" si="1"/>
        <v>560</v>
      </c>
      <c r="N25" t="str">
        <f t="shared" si="2"/>
        <v>Weekday</v>
      </c>
    </row>
    <row r="26" spans="1:14" x14ac:dyDescent="0.25">
      <c r="A26" t="s">
        <v>67</v>
      </c>
      <c r="B26" s="1">
        <v>45304</v>
      </c>
      <c r="C26" t="s">
        <v>47</v>
      </c>
      <c r="D26" t="s">
        <v>25</v>
      </c>
      <c r="E26" t="s">
        <v>14</v>
      </c>
      <c r="F26">
        <v>4</v>
      </c>
      <c r="G26">
        <v>150</v>
      </c>
      <c r="H26">
        <v>600</v>
      </c>
      <c r="I26" t="s">
        <v>15</v>
      </c>
      <c r="J26" t="s">
        <v>16</v>
      </c>
      <c r="K26" t="s">
        <v>17</v>
      </c>
      <c r="L26">
        <f t="shared" si="0"/>
        <v>2</v>
      </c>
      <c r="M26">
        <f t="shared" si="1"/>
        <v>600</v>
      </c>
      <c r="N26" t="str">
        <f t="shared" si="2"/>
        <v>Weekend</v>
      </c>
    </row>
    <row r="27" spans="1:14" x14ac:dyDescent="0.25">
      <c r="A27" t="s">
        <v>68</v>
      </c>
      <c r="B27" s="1">
        <v>45304</v>
      </c>
      <c r="C27" t="s">
        <v>47</v>
      </c>
      <c r="D27" t="s">
        <v>49</v>
      </c>
      <c r="E27" t="s">
        <v>20</v>
      </c>
      <c r="F27">
        <v>3</v>
      </c>
      <c r="G27">
        <v>200</v>
      </c>
      <c r="H27">
        <f>G27*F27</f>
        <v>600</v>
      </c>
      <c r="I27" t="s">
        <v>21</v>
      </c>
      <c r="J27" t="s">
        <v>22</v>
      </c>
      <c r="K27" t="s">
        <v>17</v>
      </c>
      <c r="L27">
        <f t="shared" si="0"/>
        <v>2</v>
      </c>
      <c r="M27">
        <f t="shared" si="1"/>
        <v>600</v>
      </c>
      <c r="N27" t="str">
        <f t="shared" si="2"/>
        <v>Weekend</v>
      </c>
    </row>
    <row r="28" spans="1:14" x14ac:dyDescent="0.25">
      <c r="A28" t="s">
        <v>69</v>
      </c>
      <c r="B28" s="1">
        <v>45305</v>
      </c>
      <c r="C28" t="s">
        <v>51</v>
      </c>
      <c r="D28" t="s">
        <v>32</v>
      </c>
      <c r="E28" t="s">
        <v>70</v>
      </c>
      <c r="F28">
        <v>2</v>
      </c>
      <c r="G28">
        <v>160</v>
      </c>
      <c r="H28">
        <v>320</v>
      </c>
      <c r="I28" t="s">
        <v>26</v>
      </c>
      <c r="J28" t="s">
        <v>27</v>
      </c>
      <c r="K28" t="s">
        <v>17</v>
      </c>
      <c r="L28">
        <f t="shared" si="0"/>
        <v>3</v>
      </c>
      <c r="M28">
        <f t="shared" si="1"/>
        <v>320</v>
      </c>
      <c r="N28" t="str">
        <f t="shared" si="2"/>
        <v>Weekend</v>
      </c>
    </row>
    <row r="29" spans="1:14" x14ac:dyDescent="0.25">
      <c r="A29" t="s">
        <v>71</v>
      </c>
      <c r="B29" s="1">
        <v>45305</v>
      </c>
      <c r="C29" t="s">
        <v>51</v>
      </c>
      <c r="D29" t="s">
        <v>53</v>
      </c>
      <c r="E29" t="s">
        <v>20</v>
      </c>
      <c r="F29">
        <v>1</v>
      </c>
      <c r="G29">
        <v>250</v>
      </c>
      <c r="H29">
        <v>250</v>
      </c>
      <c r="I29" t="s">
        <v>15</v>
      </c>
      <c r="J29" t="s">
        <v>16</v>
      </c>
      <c r="K29" t="s">
        <v>17</v>
      </c>
      <c r="L29">
        <f t="shared" si="0"/>
        <v>3</v>
      </c>
      <c r="M29">
        <f t="shared" si="1"/>
        <v>250</v>
      </c>
      <c r="N29" t="str">
        <f t="shared" si="2"/>
        <v>Weekend</v>
      </c>
    </row>
    <row r="30" spans="1:14" x14ac:dyDescent="0.25">
      <c r="A30" t="s">
        <v>72</v>
      </c>
      <c r="B30" s="1">
        <v>45306</v>
      </c>
      <c r="C30" t="s">
        <v>12</v>
      </c>
      <c r="D30" t="s">
        <v>58</v>
      </c>
      <c r="E30" t="s">
        <v>14</v>
      </c>
      <c r="F30">
        <v>3</v>
      </c>
      <c r="G30">
        <v>130</v>
      </c>
      <c r="H30">
        <v>390</v>
      </c>
      <c r="I30" t="s">
        <v>21</v>
      </c>
      <c r="J30" t="s">
        <v>22</v>
      </c>
      <c r="K30" t="s">
        <v>17</v>
      </c>
      <c r="L30">
        <f t="shared" si="0"/>
        <v>3</v>
      </c>
      <c r="M30">
        <f t="shared" si="1"/>
        <v>390</v>
      </c>
      <c r="N30" t="str">
        <f t="shared" si="2"/>
        <v>Weekday</v>
      </c>
    </row>
    <row r="31" spans="1:14" x14ac:dyDescent="0.25">
      <c r="A31" t="s">
        <v>73</v>
      </c>
      <c r="B31" s="1">
        <v>45306</v>
      </c>
      <c r="C31" t="s">
        <v>12</v>
      </c>
      <c r="D31" t="s">
        <v>29</v>
      </c>
      <c r="E31" t="s">
        <v>20</v>
      </c>
      <c r="F31">
        <v>2</v>
      </c>
      <c r="G31">
        <v>220</v>
      </c>
      <c r="H31">
        <v>440</v>
      </c>
      <c r="I31" t="s">
        <v>26</v>
      </c>
      <c r="J31" t="s">
        <v>27</v>
      </c>
      <c r="K31" t="s">
        <v>17</v>
      </c>
      <c r="L31">
        <f t="shared" si="0"/>
        <v>3</v>
      </c>
      <c r="M31">
        <f t="shared" si="1"/>
        <v>440</v>
      </c>
      <c r="N31" t="str">
        <f t="shared" si="2"/>
        <v>Weekday</v>
      </c>
    </row>
    <row r="32" spans="1:14" x14ac:dyDescent="0.25">
      <c r="A32" t="s">
        <v>74</v>
      </c>
      <c r="B32" s="1">
        <v>45307</v>
      </c>
      <c r="C32" t="s">
        <v>24</v>
      </c>
      <c r="D32" t="s">
        <v>38</v>
      </c>
      <c r="E32" t="s">
        <v>14</v>
      </c>
      <c r="F32">
        <v>1</v>
      </c>
      <c r="G32">
        <v>170</v>
      </c>
      <c r="H32">
        <v>170</v>
      </c>
      <c r="I32" t="s">
        <v>15</v>
      </c>
      <c r="J32" t="s">
        <v>16</v>
      </c>
      <c r="K32" t="s">
        <v>75</v>
      </c>
      <c r="L32">
        <f t="shared" si="0"/>
        <v>3</v>
      </c>
      <c r="M32">
        <f t="shared" si="1"/>
        <v>170</v>
      </c>
      <c r="N32" t="str">
        <f t="shared" si="2"/>
        <v>Weekday</v>
      </c>
    </row>
    <row r="33" spans="1:14" x14ac:dyDescent="0.25">
      <c r="A33" t="s">
        <v>76</v>
      </c>
      <c r="B33" s="1">
        <v>45307</v>
      </c>
      <c r="C33" t="s">
        <v>24</v>
      </c>
      <c r="D33" t="s">
        <v>19</v>
      </c>
      <c r="E33" t="s">
        <v>20</v>
      </c>
      <c r="F33">
        <v>2</v>
      </c>
      <c r="G33">
        <v>180</v>
      </c>
      <c r="H33">
        <f>G33*F33</f>
        <v>360</v>
      </c>
      <c r="I33" t="s">
        <v>21</v>
      </c>
      <c r="J33" t="s">
        <v>22</v>
      </c>
      <c r="K33" t="s">
        <v>17</v>
      </c>
      <c r="L33">
        <f t="shared" si="0"/>
        <v>3</v>
      </c>
      <c r="M33">
        <f t="shared" si="1"/>
        <v>360</v>
      </c>
      <c r="N33" t="str">
        <f t="shared" si="2"/>
        <v>Weekday</v>
      </c>
    </row>
    <row r="34" spans="1:14" x14ac:dyDescent="0.25">
      <c r="A34" t="s">
        <v>77</v>
      </c>
      <c r="B34" s="1">
        <v>45308</v>
      </c>
      <c r="C34" t="s">
        <v>31</v>
      </c>
      <c r="D34" t="s">
        <v>43</v>
      </c>
      <c r="E34" t="s">
        <v>14</v>
      </c>
      <c r="F34">
        <v>3</v>
      </c>
      <c r="G34">
        <v>140</v>
      </c>
      <c r="H34">
        <v>420</v>
      </c>
      <c r="I34" t="s">
        <v>26</v>
      </c>
      <c r="J34" t="s">
        <v>27</v>
      </c>
      <c r="K34" t="s">
        <v>17</v>
      </c>
      <c r="L34">
        <f t="shared" si="0"/>
        <v>3</v>
      </c>
      <c r="M34">
        <f t="shared" si="1"/>
        <v>420</v>
      </c>
      <c r="N34" t="str">
        <f t="shared" si="2"/>
        <v>Weekday</v>
      </c>
    </row>
    <row r="35" spans="1:14" x14ac:dyDescent="0.25">
      <c r="A35" t="s">
        <v>78</v>
      </c>
      <c r="B35" s="1">
        <v>45308</v>
      </c>
      <c r="C35" t="s">
        <v>31</v>
      </c>
      <c r="D35" t="s">
        <v>60</v>
      </c>
      <c r="E35" t="s">
        <v>20</v>
      </c>
      <c r="F35">
        <v>1</v>
      </c>
      <c r="G35">
        <v>190</v>
      </c>
      <c r="H35">
        <v>190</v>
      </c>
      <c r="I35" t="s">
        <v>15</v>
      </c>
      <c r="J35" t="s">
        <v>16</v>
      </c>
      <c r="K35" t="s">
        <v>17</v>
      </c>
      <c r="L35">
        <f t="shared" si="0"/>
        <v>3</v>
      </c>
      <c r="M35">
        <f t="shared" si="1"/>
        <v>190</v>
      </c>
      <c r="N35" t="str">
        <f t="shared" si="2"/>
        <v>Weekday</v>
      </c>
    </row>
    <row r="36" spans="1:14" x14ac:dyDescent="0.25">
      <c r="A36" t="s">
        <v>79</v>
      </c>
      <c r="B36" s="1">
        <v>45309</v>
      </c>
      <c r="C36" t="s">
        <v>37</v>
      </c>
      <c r="D36" t="s">
        <v>13</v>
      </c>
      <c r="E36" t="s">
        <v>14</v>
      </c>
      <c r="F36">
        <v>2</v>
      </c>
      <c r="G36">
        <v>120</v>
      </c>
      <c r="H36">
        <v>240</v>
      </c>
      <c r="I36" t="s">
        <v>21</v>
      </c>
      <c r="J36" t="s">
        <v>22</v>
      </c>
      <c r="K36" t="s">
        <v>17</v>
      </c>
      <c r="L36">
        <f t="shared" si="0"/>
        <v>3</v>
      </c>
      <c r="M36">
        <f t="shared" si="1"/>
        <v>240</v>
      </c>
      <c r="N36" t="str">
        <f t="shared" si="2"/>
        <v>Weekday</v>
      </c>
    </row>
    <row r="37" spans="1:14" x14ac:dyDescent="0.25">
      <c r="A37" t="s">
        <v>80</v>
      </c>
      <c r="B37" s="1">
        <v>45309</v>
      </c>
      <c r="C37" t="s">
        <v>37</v>
      </c>
      <c r="D37" t="s">
        <v>45</v>
      </c>
      <c r="E37" t="s">
        <v>20</v>
      </c>
      <c r="F37">
        <v>4</v>
      </c>
      <c r="G37">
        <v>110</v>
      </c>
      <c r="H37">
        <v>440</v>
      </c>
      <c r="I37" t="s">
        <v>26</v>
      </c>
      <c r="J37" t="s">
        <v>27</v>
      </c>
      <c r="K37" t="s">
        <v>17</v>
      </c>
      <c r="L37">
        <f t="shared" si="0"/>
        <v>3</v>
      </c>
      <c r="M37">
        <f t="shared" si="1"/>
        <v>440</v>
      </c>
      <c r="N37" t="str">
        <f t="shared" si="2"/>
        <v>Weekday</v>
      </c>
    </row>
    <row r="38" spans="1:14" x14ac:dyDescent="0.25">
      <c r="A38" t="s">
        <v>81</v>
      </c>
      <c r="B38" s="1">
        <v>45310</v>
      </c>
      <c r="C38" t="s">
        <v>42</v>
      </c>
      <c r="D38" t="s">
        <v>25</v>
      </c>
      <c r="E38" t="s">
        <v>14</v>
      </c>
      <c r="F38">
        <v>3</v>
      </c>
      <c r="G38">
        <v>150</v>
      </c>
      <c r="H38">
        <v>450</v>
      </c>
      <c r="I38" t="s">
        <v>15</v>
      </c>
      <c r="J38" t="s">
        <v>16</v>
      </c>
      <c r="K38" t="s">
        <v>17</v>
      </c>
      <c r="L38">
        <f t="shared" si="0"/>
        <v>3</v>
      </c>
      <c r="M38">
        <f t="shared" si="1"/>
        <v>450</v>
      </c>
      <c r="N38" t="str">
        <f t="shared" si="2"/>
        <v>Weekday</v>
      </c>
    </row>
    <row r="39" spans="1:14" x14ac:dyDescent="0.25">
      <c r="A39" t="s">
        <v>82</v>
      </c>
      <c r="B39" s="1">
        <v>45310</v>
      </c>
      <c r="C39" t="s">
        <v>42</v>
      </c>
      <c r="D39" t="s">
        <v>56</v>
      </c>
      <c r="E39" t="s">
        <v>20</v>
      </c>
      <c r="F39">
        <v>2</v>
      </c>
      <c r="G39">
        <v>260</v>
      </c>
      <c r="H39">
        <f>G39*F39</f>
        <v>520</v>
      </c>
      <c r="I39" t="s">
        <v>21</v>
      </c>
      <c r="J39" t="s">
        <v>22</v>
      </c>
      <c r="K39" t="s">
        <v>17</v>
      </c>
      <c r="L39">
        <f t="shared" si="0"/>
        <v>3</v>
      </c>
      <c r="M39">
        <f t="shared" si="1"/>
        <v>520</v>
      </c>
      <c r="N39" t="str">
        <f t="shared" si="2"/>
        <v>Weekday</v>
      </c>
    </row>
    <row r="40" spans="1:14" x14ac:dyDescent="0.25">
      <c r="A40" t="s">
        <v>83</v>
      </c>
      <c r="B40" s="1">
        <v>45311</v>
      </c>
      <c r="C40" t="s">
        <v>47</v>
      </c>
      <c r="D40" t="s">
        <v>32</v>
      </c>
      <c r="E40" t="s">
        <v>14</v>
      </c>
      <c r="F40">
        <v>4</v>
      </c>
      <c r="G40">
        <v>160</v>
      </c>
      <c r="H40">
        <v>640</v>
      </c>
      <c r="I40" t="s">
        <v>26</v>
      </c>
      <c r="J40" t="s">
        <v>27</v>
      </c>
      <c r="K40" t="s">
        <v>17</v>
      </c>
      <c r="L40">
        <f t="shared" si="0"/>
        <v>3</v>
      </c>
      <c r="M40">
        <f t="shared" si="1"/>
        <v>640</v>
      </c>
      <c r="N40" t="str">
        <f t="shared" si="2"/>
        <v>Weekend</v>
      </c>
    </row>
    <row r="41" spans="1:14" x14ac:dyDescent="0.25">
      <c r="A41" t="s">
        <v>84</v>
      </c>
      <c r="B41" s="1">
        <v>45311</v>
      </c>
      <c r="C41" t="s">
        <v>47</v>
      </c>
      <c r="D41" t="s">
        <v>35</v>
      </c>
      <c r="E41" t="s">
        <v>20</v>
      </c>
      <c r="F41">
        <v>3</v>
      </c>
      <c r="G41">
        <v>90</v>
      </c>
      <c r="H41">
        <v>270</v>
      </c>
      <c r="I41" t="s">
        <v>15</v>
      </c>
      <c r="J41" t="s">
        <v>16</v>
      </c>
      <c r="K41" t="s">
        <v>17</v>
      </c>
      <c r="L41">
        <f t="shared" si="0"/>
        <v>3</v>
      </c>
      <c r="M41">
        <f t="shared" si="1"/>
        <v>270</v>
      </c>
      <c r="N41" t="str">
        <f t="shared" si="2"/>
        <v>Weekend</v>
      </c>
    </row>
    <row r="42" spans="1:14" x14ac:dyDescent="0.25">
      <c r="A42" t="s">
        <v>85</v>
      </c>
      <c r="B42" s="1">
        <v>45312</v>
      </c>
      <c r="C42" t="s">
        <v>51</v>
      </c>
      <c r="D42" t="s">
        <v>58</v>
      </c>
      <c r="E42" t="s">
        <v>14</v>
      </c>
      <c r="F42">
        <v>2</v>
      </c>
      <c r="G42">
        <v>130</v>
      </c>
      <c r="H42">
        <v>260</v>
      </c>
      <c r="I42" t="s">
        <v>21</v>
      </c>
      <c r="J42" t="s">
        <v>22</v>
      </c>
      <c r="K42" t="s">
        <v>17</v>
      </c>
      <c r="L42">
        <f t="shared" si="0"/>
        <v>4</v>
      </c>
      <c r="M42">
        <f t="shared" si="1"/>
        <v>260</v>
      </c>
      <c r="N42" t="str">
        <f t="shared" si="2"/>
        <v>Weekend</v>
      </c>
    </row>
    <row r="43" spans="1:14" x14ac:dyDescent="0.25">
      <c r="A43" t="s">
        <v>86</v>
      </c>
      <c r="B43" s="1">
        <v>45312</v>
      </c>
      <c r="C43" t="s">
        <v>51</v>
      </c>
      <c r="D43" t="s">
        <v>40</v>
      </c>
      <c r="E43" t="s">
        <v>20</v>
      </c>
      <c r="F43">
        <v>1</v>
      </c>
      <c r="G43">
        <v>280</v>
      </c>
      <c r="H43">
        <v>280</v>
      </c>
      <c r="I43" t="s">
        <v>26</v>
      </c>
      <c r="J43" t="s">
        <v>27</v>
      </c>
      <c r="K43" t="s">
        <v>17</v>
      </c>
      <c r="L43">
        <f t="shared" si="0"/>
        <v>4</v>
      </c>
      <c r="M43">
        <f t="shared" si="1"/>
        <v>280</v>
      </c>
      <c r="N43" t="str">
        <f t="shared" si="2"/>
        <v>Weekend</v>
      </c>
    </row>
    <row r="44" spans="1:14" x14ac:dyDescent="0.25">
      <c r="A44" t="s">
        <v>87</v>
      </c>
      <c r="B44" s="1">
        <v>45313</v>
      </c>
      <c r="C44" t="s">
        <v>12</v>
      </c>
      <c r="D44" t="s">
        <v>38</v>
      </c>
      <c r="E44" t="s">
        <v>14</v>
      </c>
      <c r="F44">
        <v>3</v>
      </c>
      <c r="G44">
        <v>170</v>
      </c>
      <c r="H44">
        <v>510</v>
      </c>
      <c r="I44" t="s">
        <v>15</v>
      </c>
      <c r="J44" t="s">
        <v>16</v>
      </c>
      <c r="K44" t="s">
        <v>17</v>
      </c>
      <c r="L44">
        <f t="shared" si="0"/>
        <v>4</v>
      </c>
      <c r="M44">
        <f t="shared" si="1"/>
        <v>510</v>
      </c>
      <c r="N44" t="str">
        <f t="shared" si="2"/>
        <v>Weekday</v>
      </c>
    </row>
    <row r="45" spans="1:14" x14ac:dyDescent="0.25">
      <c r="A45" t="s">
        <v>88</v>
      </c>
      <c r="B45" s="1">
        <v>45313</v>
      </c>
      <c r="C45" t="s">
        <v>12</v>
      </c>
      <c r="D45" t="s">
        <v>49</v>
      </c>
      <c r="E45" t="s">
        <v>20</v>
      </c>
      <c r="F45">
        <v>2</v>
      </c>
      <c r="G45">
        <v>200</v>
      </c>
      <c r="H45">
        <f>G45*F45</f>
        <v>400</v>
      </c>
      <c r="I45" t="s">
        <v>21</v>
      </c>
      <c r="J45" t="s">
        <v>22</v>
      </c>
      <c r="K45" t="s">
        <v>17</v>
      </c>
      <c r="L45">
        <f t="shared" si="0"/>
        <v>4</v>
      </c>
      <c r="M45">
        <f t="shared" si="1"/>
        <v>400</v>
      </c>
      <c r="N45" t="str">
        <f t="shared" si="2"/>
        <v>Weekday</v>
      </c>
    </row>
    <row r="46" spans="1:14" x14ac:dyDescent="0.25">
      <c r="A46" t="s">
        <v>89</v>
      </c>
      <c r="B46" s="1">
        <v>45314</v>
      </c>
      <c r="C46" t="s">
        <v>24</v>
      </c>
      <c r="D46" t="s">
        <v>43</v>
      </c>
      <c r="E46" t="s">
        <v>14</v>
      </c>
      <c r="F46">
        <v>1</v>
      </c>
      <c r="G46">
        <v>140</v>
      </c>
      <c r="H46">
        <v>140</v>
      </c>
      <c r="I46" t="s">
        <v>26</v>
      </c>
      <c r="J46" t="s">
        <v>27</v>
      </c>
      <c r="K46" t="s">
        <v>17</v>
      </c>
      <c r="L46">
        <f t="shared" si="0"/>
        <v>4</v>
      </c>
      <c r="M46">
        <f t="shared" si="1"/>
        <v>140</v>
      </c>
      <c r="N46" t="str">
        <f t="shared" si="2"/>
        <v>Weekday</v>
      </c>
    </row>
    <row r="47" spans="1:14" x14ac:dyDescent="0.25">
      <c r="A47" t="s">
        <v>90</v>
      </c>
      <c r="B47" s="1">
        <v>45314</v>
      </c>
      <c r="C47" t="s">
        <v>24</v>
      </c>
      <c r="D47" t="s">
        <v>53</v>
      </c>
      <c r="E47" t="s">
        <v>20</v>
      </c>
      <c r="F47">
        <v>2</v>
      </c>
      <c r="G47">
        <v>250</v>
      </c>
      <c r="H47">
        <v>500</v>
      </c>
      <c r="I47" t="s">
        <v>15</v>
      </c>
      <c r="J47" t="s">
        <v>16</v>
      </c>
      <c r="K47" t="s">
        <v>17</v>
      </c>
      <c r="L47">
        <f t="shared" si="0"/>
        <v>4</v>
      </c>
      <c r="M47">
        <f t="shared" si="1"/>
        <v>500</v>
      </c>
      <c r="N47" t="str">
        <f t="shared" si="2"/>
        <v>Weekday</v>
      </c>
    </row>
    <row r="48" spans="1:14" x14ac:dyDescent="0.25">
      <c r="A48" t="s">
        <v>91</v>
      </c>
      <c r="B48" s="1">
        <v>45315</v>
      </c>
      <c r="C48" t="s">
        <v>31</v>
      </c>
      <c r="D48" t="s">
        <v>13</v>
      </c>
      <c r="E48" t="s">
        <v>14</v>
      </c>
      <c r="F48">
        <v>4</v>
      </c>
      <c r="G48">
        <v>120</v>
      </c>
      <c r="H48">
        <v>480</v>
      </c>
      <c r="I48" t="s">
        <v>21</v>
      </c>
      <c r="J48" t="s">
        <v>22</v>
      </c>
      <c r="K48" t="s">
        <v>17</v>
      </c>
      <c r="L48">
        <f t="shared" si="0"/>
        <v>4</v>
      </c>
      <c r="M48">
        <f t="shared" si="1"/>
        <v>480</v>
      </c>
      <c r="N48" t="str">
        <f t="shared" si="2"/>
        <v>Weekday</v>
      </c>
    </row>
    <row r="49" spans="1:14" x14ac:dyDescent="0.25">
      <c r="A49" t="s">
        <v>92</v>
      </c>
      <c r="B49" s="1">
        <v>45315</v>
      </c>
      <c r="C49" t="s">
        <v>31</v>
      </c>
      <c r="D49" t="s">
        <v>19</v>
      </c>
      <c r="E49" t="s">
        <v>20</v>
      </c>
      <c r="F49">
        <v>1</v>
      </c>
      <c r="G49">
        <v>180</v>
      </c>
      <c r="H49">
        <v>180</v>
      </c>
      <c r="I49" t="s">
        <v>26</v>
      </c>
      <c r="J49" t="s">
        <v>27</v>
      </c>
      <c r="K49" t="s">
        <v>17</v>
      </c>
      <c r="L49">
        <f t="shared" si="0"/>
        <v>4</v>
      </c>
      <c r="M49">
        <f t="shared" si="1"/>
        <v>180</v>
      </c>
      <c r="N49" t="str">
        <f t="shared" si="2"/>
        <v>Weekday</v>
      </c>
    </row>
    <row r="50" spans="1:14" x14ac:dyDescent="0.25">
      <c r="A50" t="s">
        <v>93</v>
      </c>
      <c r="B50" s="1">
        <v>45316</v>
      </c>
      <c r="C50" t="s">
        <v>37</v>
      </c>
      <c r="D50" t="s">
        <v>25</v>
      </c>
      <c r="E50" t="s">
        <v>14</v>
      </c>
      <c r="F50">
        <v>2</v>
      </c>
      <c r="G50">
        <v>150</v>
      </c>
      <c r="H50">
        <v>300</v>
      </c>
      <c r="I50" t="s">
        <v>15</v>
      </c>
      <c r="J50" t="s">
        <v>16</v>
      </c>
      <c r="K50" t="s">
        <v>17</v>
      </c>
      <c r="L50">
        <f t="shared" si="0"/>
        <v>4</v>
      </c>
      <c r="M50">
        <f t="shared" si="1"/>
        <v>300</v>
      </c>
      <c r="N50" t="str">
        <f t="shared" si="2"/>
        <v>Weekday</v>
      </c>
    </row>
    <row r="51" spans="1:14" x14ac:dyDescent="0.25">
      <c r="A51" t="s">
        <v>94</v>
      </c>
      <c r="B51" s="1">
        <v>45316</v>
      </c>
      <c r="C51" t="s">
        <v>37</v>
      </c>
      <c r="D51" t="s">
        <v>29</v>
      </c>
      <c r="E51" t="s">
        <v>20</v>
      </c>
      <c r="F51">
        <v>3</v>
      </c>
      <c r="G51">
        <v>220</v>
      </c>
      <c r="H51">
        <f>G51*F51</f>
        <v>660</v>
      </c>
      <c r="I51" t="s">
        <v>21</v>
      </c>
      <c r="J51" t="s">
        <v>22</v>
      </c>
      <c r="K51" t="s">
        <v>17</v>
      </c>
      <c r="L51">
        <f t="shared" si="0"/>
        <v>4</v>
      </c>
      <c r="M51">
        <f t="shared" si="1"/>
        <v>660</v>
      </c>
      <c r="N51" t="str">
        <f t="shared" si="2"/>
        <v>Weekday</v>
      </c>
    </row>
    <row r="52" spans="1:14" x14ac:dyDescent="0.25">
      <c r="A52" t="s">
        <v>95</v>
      </c>
      <c r="B52" s="1">
        <v>45317</v>
      </c>
      <c r="C52" t="s">
        <v>42</v>
      </c>
      <c r="D52" t="s">
        <v>32</v>
      </c>
      <c r="E52" t="s">
        <v>14</v>
      </c>
      <c r="F52">
        <v>1</v>
      </c>
      <c r="G52">
        <v>160</v>
      </c>
      <c r="H52">
        <v>160</v>
      </c>
      <c r="I52" t="s">
        <v>26</v>
      </c>
      <c r="J52" t="s">
        <v>27</v>
      </c>
      <c r="K52" t="s">
        <v>17</v>
      </c>
      <c r="L52">
        <f t="shared" si="0"/>
        <v>4</v>
      </c>
      <c r="M52">
        <f t="shared" si="1"/>
        <v>160</v>
      </c>
      <c r="N52" t="str">
        <f t="shared" si="2"/>
        <v>Weekday</v>
      </c>
    </row>
    <row r="53" spans="1:14" x14ac:dyDescent="0.25">
      <c r="A53" t="s">
        <v>96</v>
      </c>
      <c r="B53" s="1">
        <v>45317</v>
      </c>
      <c r="C53" t="s">
        <v>42</v>
      </c>
      <c r="D53" t="s">
        <v>60</v>
      </c>
      <c r="E53" t="s">
        <v>20</v>
      </c>
      <c r="F53">
        <v>2</v>
      </c>
      <c r="G53">
        <v>190</v>
      </c>
      <c r="H53">
        <v>380</v>
      </c>
      <c r="I53" t="s">
        <v>15</v>
      </c>
      <c r="J53" t="s">
        <v>16</v>
      </c>
      <c r="K53" t="s">
        <v>17</v>
      </c>
      <c r="L53">
        <f t="shared" si="0"/>
        <v>4</v>
      </c>
      <c r="M53">
        <f t="shared" si="1"/>
        <v>380</v>
      </c>
      <c r="N53" t="str">
        <f t="shared" si="2"/>
        <v>Weekday</v>
      </c>
    </row>
    <row r="54" spans="1:14" x14ac:dyDescent="0.25">
      <c r="A54" t="s">
        <v>97</v>
      </c>
      <c r="B54" s="1">
        <v>45318</v>
      </c>
      <c r="C54" t="s">
        <v>47</v>
      </c>
      <c r="D54" t="s">
        <v>58</v>
      </c>
      <c r="E54" t="s">
        <v>14</v>
      </c>
      <c r="F54">
        <v>3</v>
      </c>
      <c r="G54">
        <v>130</v>
      </c>
      <c r="H54">
        <v>390</v>
      </c>
      <c r="I54" t="s">
        <v>21</v>
      </c>
      <c r="J54" t="s">
        <v>22</v>
      </c>
      <c r="K54" t="s">
        <v>17</v>
      </c>
      <c r="L54">
        <f t="shared" si="0"/>
        <v>4</v>
      </c>
      <c r="M54">
        <f t="shared" si="1"/>
        <v>390</v>
      </c>
      <c r="N54" t="str">
        <f t="shared" si="2"/>
        <v>Weekend</v>
      </c>
    </row>
    <row r="55" spans="1:14" x14ac:dyDescent="0.25">
      <c r="A55" t="s">
        <v>98</v>
      </c>
      <c r="B55" s="1">
        <v>45318</v>
      </c>
      <c r="C55" t="s">
        <v>47</v>
      </c>
      <c r="D55" t="s">
        <v>45</v>
      </c>
      <c r="E55" t="s">
        <v>20</v>
      </c>
      <c r="F55">
        <v>4</v>
      </c>
      <c r="G55">
        <v>110</v>
      </c>
      <c r="H55">
        <v>440</v>
      </c>
      <c r="I55" t="s">
        <v>26</v>
      </c>
      <c r="J55" t="s">
        <v>27</v>
      </c>
      <c r="K55" t="s">
        <v>17</v>
      </c>
      <c r="L55">
        <f t="shared" si="0"/>
        <v>4</v>
      </c>
      <c r="M55">
        <f t="shared" si="1"/>
        <v>440</v>
      </c>
      <c r="N55" t="str">
        <f t="shared" si="2"/>
        <v>Weekend</v>
      </c>
    </row>
    <row r="56" spans="1:14" x14ac:dyDescent="0.25">
      <c r="A56" t="s">
        <v>99</v>
      </c>
      <c r="B56" s="1">
        <v>45319</v>
      </c>
      <c r="C56" t="s">
        <v>51</v>
      </c>
      <c r="D56" t="s">
        <v>38</v>
      </c>
      <c r="E56" t="s">
        <v>14</v>
      </c>
      <c r="F56">
        <v>2</v>
      </c>
      <c r="G56">
        <v>170</v>
      </c>
      <c r="H56">
        <v>340</v>
      </c>
      <c r="I56" t="s">
        <v>15</v>
      </c>
      <c r="J56" t="s">
        <v>16</v>
      </c>
      <c r="K56" t="s">
        <v>17</v>
      </c>
      <c r="L56">
        <f t="shared" si="0"/>
        <v>5</v>
      </c>
      <c r="M56">
        <f t="shared" si="1"/>
        <v>340</v>
      </c>
      <c r="N56" t="str">
        <f t="shared" si="2"/>
        <v>Weekend</v>
      </c>
    </row>
    <row r="57" spans="1:14" x14ac:dyDescent="0.25">
      <c r="A57" t="s">
        <v>100</v>
      </c>
      <c r="B57" s="1">
        <v>45319</v>
      </c>
      <c r="C57" t="s">
        <v>51</v>
      </c>
      <c r="D57" t="s">
        <v>56</v>
      </c>
      <c r="E57" t="s">
        <v>20</v>
      </c>
      <c r="F57">
        <v>1</v>
      </c>
      <c r="G57">
        <v>260</v>
      </c>
      <c r="H57">
        <f>G57*F57</f>
        <v>260</v>
      </c>
      <c r="I57" t="s">
        <v>21</v>
      </c>
      <c r="J57" t="s">
        <v>22</v>
      </c>
      <c r="K57" t="s">
        <v>17</v>
      </c>
      <c r="L57">
        <f t="shared" si="0"/>
        <v>5</v>
      </c>
      <c r="M57">
        <f t="shared" si="1"/>
        <v>260</v>
      </c>
      <c r="N57" t="str">
        <f t="shared" si="2"/>
        <v>Weekend</v>
      </c>
    </row>
    <row r="58" spans="1:14" x14ac:dyDescent="0.25">
      <c r="A58" t="s">
        <v>101</v>
      </c>
      <c r="B58" s="1">
        <v>45320</v>
      </c>
      <c r="C58" t="s">
        <v>12</v>
      </c>
      <c r="D58" t="s">
        <v>43</v>
      </c>
      <c r="E58" t="s">
        <v>14</v>
      </c>
      <c r="F58">
        <v>3</v>
      </c>
      <c r="G58">
        <v>140</v>
      </c>
      <c r="H58">
        <v>420</v>
      </c>
      <c r="I58" t="s">
        <v>26</v>
      </c>
      <c r="J58" t="s">
        <v>27</v>
      </c>
      <c r="K58" t="s">
        <v>17</v>
      </c>
      <c r="L58">
        <f t="shared" si="0"/>
        <v>5</v>
      </c>
      <c r="M58">
        <f t="shared" si="1"/>
        <v>420</v>
      </c>
      <c r="N58" t="str">
        <f t="shared" si="2"/>
        <v>Weekday</v>
      </c>
    </row>
    <row r="59" spans="1:14" x14ac:dyDescent="0.25">
      <c r="A59" t="s">
        <v>102</v>
      </c>
      <c r="B59" s="1">
        <v>45320</v>
      </c>
      <c r="C59" t="s">
        <v>12</v>
      </c>
      <c r="D59" t="s">
        <v>35</v>
      </c>
      <c r="E59" t="s">
        <v>20</v>
      </c>
      <c r="F59">
        <v>2</v>
      </c>
      <c r="G59">
        <v>90</v>
      </c>
      <c r="H59">
        <v>180</v>
      </c>
      <c r="I59" t="s">
        <v>15</v>
      </c>
      <c r="J59" t="s">
        <v>16</v>
      </c>
      <c r="K59" t="s">
        <v>17</v>
      </c>
      <c r="L59">
        <f t="shared" si="0"/>
        <v>5</v>
      </c>
      <c r="M59">
        <f t="shared" si="1"/>
        <v>180</v>
      </c>
      <c r="N59" t="str">
        <f t="shared" si="2"/>
        <v>Weekday</v>
      </c>
    </row>
    <row r="60" spans="1:14" x14ac:dyDescent="0.25">
      <c r="A60" t="s">
        <v>103</v>
      </c>
      <c r="B60" s="1">
        <v>45321</v>
      </c>
      <c r="C60" t="s">
        <v>24</v>
      </c>
      <c r="D60" t="s">
        <v>13</v>
      </c>
      <c r="E60" t="s">
        <v>14</v>
      </c>
      <c r="F60">
        <v>4</v>
      </c>
      <c r="G60">
        <v>120</v>
      </c>
      <c r="H60">
        <v>480</v>
      </c>
      <c r="I60" t="s">
        <v>21</v>
      </c>
      <c r="J60" t="s">
        <v>22</v>
      </c>
      <c r="K60" t="s">
        <v>17</v>
      </c>
      <c r="L60">
        <f t="shared" si="0"/>
        <v>5</v>
      </c>
      <c r="M60">
        <f t="shared" si="1"/>
        <v>480</v>
      </c>
      <c r="N60" t="str">
        <f t="shared" si="2"/>
        <v>Weekday</v>
      </c>
    </row>
    <row r="61" spans="1:14" x14ac:dyDescent="0.25">
      <c r="A61" t="s">
        <v>104</v>
      </c>
      <c r="B61" s="1">
        <v>45321</v>
      </c>
      <c r="C61" t="s">
        <v>24</v>
      </c>
      <c r="D61" t="s">
        <v>49</v>
      </c>
      <c r="E61" t="s">
        <v>20</v>
      </c>
      <c r="F61">
        <v>1</v>
      </c>
      <c r="G61">
        <v>200</v>
      </c>
      <c r="H61">
        <v>200</v>
      </c>
      <c r="I61" t="s">
        <v>26</v>
      </c>
      <c r="J61" t="s">
        <v>27</v>
      </c>
      <c r="K61" t="s">
        <v>17</v>
      </c>
      <c r="L61">
        <f t="shared" si="0"/>
        <v>5</v>
      </c>
      <c r="M61">
        <f t="shared" si="1"/>
        <v>200</v>
      </c>
      <c r="N61" t="str">
        <f t="shared" si="2"/>
        <v>Weekday</v>
      </c>
    </row>
  </sheetData>
  <autoFilter ref="A1:K61" xr:uid="{FFF4BF5C-E742-4CB5-BD5A-166160F005E4}">
    <sortState xmlns:xlrd2="http://schemas.microsoft.com/office/spreadsheetml/2017/richdata2" ref="A2:K61">
      <sortCondition ref="B1:B6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WISE-SALES </vt:lpstr>
      <vt:lpstr>Dashboard</vt:lpstr>
      <vt:lpstr>Sheet3</vt:lpstr>
      <vt:lpstr>Sheet5</vt:lpstr>
      <vt:lpstr>Sheet7</vt:lpstr>
      <vt:lpstr>Sheet1</vt:lpstr>
      <vt:lpstr>Sheet2</vt:lpstr>
      <vt:lpstr>cafe_sales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JAISWAL</dc:creator>
  <cp:lastModifiedBy>Prince JAISWAL</cp:lastModifiedBy>
  <dcterms:created xsi:type="dcterms:W3CDTF">2026-07-15T07:09:05Z</dcterms:created>
  <dcterms:modified xsi:type="dcterms:W3CDTF">2026-07-31T16:42:01Z</dcterms:modified>
</cp:coreProperties>
</file>